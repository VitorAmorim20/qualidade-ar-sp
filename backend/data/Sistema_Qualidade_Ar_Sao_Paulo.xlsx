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79260b73e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dade do Ar" sheetId="1" r:id="Rfec342c69b3f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"/>
    <x:numFmt numFmtId="203" formatCode="0"/>
  </x:numFmts>
  <x:fonts count="5">
    <x:font>
      <x:sz val="11"/>
      <x:name val="Carlito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9EEF5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0E8"/>
      </x:bottom>
    </x:border>
    <x:border>
      <x:left style="thin">
        <x:color rgb="FFFFFFFF"/>
      </x:left>
      <x:right style="thin">
        <x:color rgb="FFFFFFFF"/>
      </x:right>
      <x:bottom style="thin">
        <x:color rgb="FFD9E0E8"/>
      </x:bottom>
    </x:border>
    <x:border>
      <x:left style="thin">
        <x:color rgb="FFFFFFFF"/>
      </x:left>
      <x:bottom style="thin">
        <x:color rgb="FFD9E0E8"/>
      </x:bottom>
    </x:border>
    <x:border>
      <x:top style="thin">
        <x:color rgb="FFD9E0E8"/>
      </x:top>
      <x:bottom style="thin">
        <x:color rgb="FFD9E0E8"/>
      </x:bottom>
    </x:border>
    <x:border>
      <x:top style="thin">
        <x:color rgb="FFD9E0E8"/>
      </x:top>
      <x:bottom style="thin">
        <x:color rgb="FFAAB7C4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0"/>
    </x:xf>
    <x:xf numFmtId="0" fontId="4" fillId="2" borderId="2" xfId="0" applyNumberFormat="1" applyFont="1" applyFill="1" applyBorder="1" applyAlignment="1">
      <x:alignment wrapText="0"/>
    </x:xf>
    <x:xf numFmtId="0" fontId="4" fillId="2" borderId="3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2" xfId="0" applyNumberFormat="1" applyFont="1" applyFill="1" applyBorder="1" applyAlignment="1">
      <x:alignment horizontal="center" wrapText="0"/>
    </x:xf>
    <x:xf numFmtId="0" fontId="4" fillId="2" borderId="3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  <x:xf numFmtId="203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left"/>
    </x:xf>
    <x:xf numFmtId="20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2" fontId="3" fillId="0" borderId="0" xfId="0" applyNumberFormat="1" applyFont="1" applyFill="1" applyBorder="1" applyAlignment="1">
      <x:alignment horizontal="right" vertical="center"/>
    </x:xf>
    <x:xf numFmtId="203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left" vertical="center"/>
    </x:xf>
    <x:xf numFmtId="20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horizontal="right" vertical="center"/>
    </x:xf>
    <x:xf numFmtId="202" fontId="3" fillId="3" borderId="0" xfId="0" applyNumberFormat="1" applyFont="1" applyFill="1" applyBorder="1" applyAlignment="1">
      <x:alignment horizontal="right" vertical="center"/>
    </x:xf>
    <x:xf numFmtId="203" fontId="3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4" xfId="0" applyNumberFormat="1" applyFont="1" applyFill="1" applyBorder="1" applyAlignment="1">
      <x:alignment horizontal="center" vertical="center" wrapText="0"/>
    </x:xf>
    <x:xf numFmtId="0" fontId="4" fillId="2" borderId="5" xfId="0" applyNumberFormat="1" applyFont="1" applyFill="1" applyBorder="1" applyAlignment="1">
      <x:alignment horizontal="center" vertical="center" wrapText="0"/>
    </x:xf>
    <x:xf numFmtId="0" fontId="4" fillId="2" borderId="6" xfId="0" applyNumberFormat="1" applyFont="1" applyFill="1" applyBorder="1" applyAlignment="1">
      <x:alignment horizontal="center" vertical="center" wrapText="0"/>
    </x:xf>
    <x:xf numFmtId="200" fontId="3" fillId="3" borderId="7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vertical="center"/>
    </x:xf>
    <x:xf numFmtId="201" fontId="3" fillId="3" borderId="7" xfId="0" applyNumberFormat="1" applyFont="1" applyFill="1" applyBorder="1" applyAlignment="1">
      <x:alignment horizontal="right" vertical="center"/>
    </x:xf>
    <x:xf numFmtId="202" fontId="3" fillId="3" borderId="7" xfId="0" applyNumberFormat="1" applyFont="1" applyFill="1" applyBorder="1" applyAlignment="1">
      <x:alignment horizontal="right" vertical="center"/>
    </x:xf>
    <x:xf numFmtId="203" fontId="3" fillId="3" borderId="7" xfId="0" applyNumberFormat="1" applyFont="1" applyFill="1" applyBorder="1" applyAlignment="1">
      <x:alignment horizontal="right" vertical="center"/>
    </x:xf>
    <x:xf numFmtId="0" fontId="3" fillId="3" borderId="7" xfId="0" applyNumberFormat="1" applyFont="1" applyFill="1" applyBorder="1" applyAlignment="1">
      <x:alignment horizontal="left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2" fontId="3" fillId="0" borderId="7" xfId="0" applyNumberFormat="1" applyFont="1" applyFill="1" applyBorder="1" applyAlignment="1">
      <x:alignment horizontal="right" vertical="center"/>
    </x:xf>
    <x:xf numFmtId="203" fontId="3" fillId="0" borderId="7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left" vertical="center"/>
    </x:xf>
    <x:xf numFmtId="200" fontId="3" fillId="0" borderId="8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horizontal="right" vertical="center"/>
    </x:xf>
    <x:xf numFmtId="202" fontId="3" fillId="0" borderId="8" xfId="0" applyNumberFormat="1" applyFont="1" applyFill="1" applyBorder="1" applyAlignment="1">
      <x:alignment horizontal="right" vertical="center"/>
    </x:xf>
    <x:xf numFmtId="203" fontId="3" fillId="0" borderId="8" xfId="0" applyNumberFormat="1" applyFont="1" applyFill="1" applyBorder="1" applyAlignment="1">
      <x:alignment horizontal="right" vertical="center"/>
    </x:xf>
    <x:xf numFmtId="0" fontId="3" fillId="0" borderId="8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4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1976d1ca347ba" /><Relationship Type="http://schemas.openxmlformats.org/officeDocument/2006/relationships/theme" Target="/xl/theme/theme1.xml" Id="R2b33cd0215144853" /><Relationship Type="http://schemas.openxmlformats.org/officeDocument/2006/relationships/sharedStrings" Target="/xl/sharedStrings.xml" Id="R38b4ed31ddac4591" /><Relationship Type="http://schemas.openxmlformats.org/officeDocument/2006/relationships/worksheet" Target="/xl/worksheets/sheet1.xml" Id="Rfec342c69b3f4919" /></Relationships>
</file>

<file path=xl/tables/table1.xml><?xml version="1.0" encoding="utf-8"?>
<x:table xmlns:x="http://schemas.openxmlformats.org/spreadsheetml/2006/main" id="1" name="QualidadeArTable" displayName="QualidadeArTable" ref="A4:H376" headerRowCount="1" totalsRowCount="0" totalsRowShown="0">
  <x:tableColumns count="8">
    <x:tableColumn id="1" name="Data"/>
    <x:tableColumn id="2" name="Estação / Região"/>
    <x:tableColumn id="3" name="Tráfego (Veíc/h)"/>
    <x:tableColumn id="4" name="Temperatura (°C)"/>
    <x:tableColumn id="5" name="Umidade (%)"/>
    <x:tableColumn id="6" name="CO2 (ppm)"/>
    <x:tableColumn id="7" name="PM2.5 (µg/m³)"/>
    <x:tableColumn id="8" name="Qualidade do 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16a1d1729143e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0" customHeight="1">
      <x:c r="A1" s="2" t="str">
        <x:v>Sistema de Monitoramento da Qualidade do Ar - Cidade de São Paulo</x:v>
      </x:c>
      <x:c r="B1" s="2"/>
      <x:c r="C1" s="2"/>
      <x:c r="D1" s="2"/>
      <x:c r="E1" s="2"/>
      <x:c r="F1" s="2"/>
      <x:c r="G1" s="2"/>
      <x:c r="H1" s="2"/>
    </x:row>
    <x:row r="2" ht="21" customHeight="1">
      <x:c r="A2" s="4" t="str">
        <x:v>Leituras diárias por região, tráfego urbano e indicadores atmosféricos</x:v>
      </x:c>
      <x:c r="B2" s="4"/>
      <x:c r="C2" s="4"/>
      <x:c r="D2" s="4"/>
      <x:c r="E2" s="4"/>
      <x:c r="F2" s="4"/>
      <x:c r="G2" s="4"/>
      <x:c r="H2" s="4"/>
    </x:row>
    <x:row r="3" ht="8" customHeight="1"/>
    <x:row r="4" ht="24" customHeight="1">
      <x:c r="A4" s="41" t="str">
        <x:v>Data</x:v>
      </x:c>
      <x:c r="B4" s="42" t="str">
        <x:v>Estação / Região</x:v>
      </x:c>
      <x:c r="C4" s="42" t="str">
        <x:v>Tráfego (Veíc/h)</x:v>
      </x:c>
      <x:c r="D4" s="42" t="str">
        <x:v>Temperatura (°C)</x:v>
      </x:c>
      <x:c r="E4" s="42" t="str">
        <x:v>Umidade (%)</x:v>
      </x:c>
      <x:c r="F4" s="42" t="str">
        <x:v>CO2 (ppm)</x:v>
      </x:c>
      <x:c r="G4" s="42" t="str">
        <x:v>PM2.5 (µg/m³)</x:v>
      </x:c>
      <x:c r="H4" s="43" t="str">
        <x:v>Qualidade do Ar</x:v>
      </x:c>
    </x:row>
    <x:row r="5" ht="20" customHeight="1">
      <x:c r="A5" s="44" t="n">
        <x:v>46235</x:v>
      </x:c>
      <x:c r="B5" s="45" t="str">
        <x:v>Centro</x:v>
      </x:c>
      <x:c r="C5" s="46" t="n">
        <x:v>5707</x:v>
      </x:c>
      <x:c r="D5" s="47" t="n">
        <x:v>24</x:v>
      </x:c>
      <x:c r="E5" s="48" t="n">
        <x:v>80</x:v>
      </x:c>
      <x:c r="F5" s="48" t="n">
        <x:v>581</x:v>
      </x:c>
      <x:c r="G5" s="47" t="n">
        <x:v>39</x:v>
      </x:c>
      <x:c r="H5" s="49" t="str">
        <x:f>IF(G5&lt;=25,"Boa",IF(G5&lt;=50,"Moderada",IF(G5&lt;=75,"Ruim","Muito Ruim")))</x:f>
        <x:v>Moderada</x:v>
      </x:c>
    </x:row>
    <x:row r="6" ht="20" customHeight="1">
      <x:c r="A6" s="50" t="n">
        <x:v>46235</x:v>
      </x:c>
      <x:c r="B6" s="51" t="str">
        <x:v>Marginal Tietê</x:v>
      </x:c>
      <x:c r="C6" s="52" t="n">
        <x:v>9350</x:v>
      </x:c>
      <x:c r="D6" s="53" t="n">
        <x:v>18.9</x:v>
      </x:c>
      <x:c r="E6" s="54" t="n">
        <x:v>81</x:v>
      </x:c>
      <x:c r="F6" s="54" t="n">
        <x:v>783</x:v>
      </x:c>
      <x:c r="G6" s="53" t="n">
        <x:v>60.8</x:v>
      </x:c>
      <x:c r="H6" s="55" t="str">
        <x:f>IF(G6&lt;=25,"Boa",IF(G6&lt;=50,"Moderada",IF(G6&lt;=75,"Ruim","Muito Ruim")))</x:f>
        <x:v>Ruim</x:v>
      </x:c>
    </x:row>
    <x:row r="7" ht="20" customHeight="1">
      <x:c r="A7" s="44" t="n">
        <x:v>46235</x:v>
      </x:c>
      <x:c r="B7" s="45" t="str">
        <x:v>Paulista</x:v>
      </x:c>
      <x:c r="C7" s="46" t="n">
        <x:v>6655</x:v>
      </x:c>
      <x:c r="D7" s="47" t="n">
        <x:v>27.3</x:v>
      </x:c>
      <x:c r="E7" s="48" t="n">
        <x:v>61</x:v>
      </x:c>
      <x:c r="F7" s="48" t="n">
        <x:v>704</x:v>
      </x:c>
      <x:c r="G7" s="47" t="n">
        <x:v>42.1</x:v>
      </x:c>
      <x:c r="H7" s="49" t="str">
        <x:f>IF(G7&lt;=25,"Boa",IF(G7&lt;=50,"Moderada",IF(G7&lt;=75,"Ruim","Muito Ruim")))</x:f>
        <x:v>Moderada</x:v>
      </x:c>
    </x:row>
    <x:row r="8" ht="20" customHeight="1">
      <x:c r="A8" s="50" t="n">
        <x:v>46235</x:v>
      </x:c>
      <x:c r="B8" s="51" t="str">
        <x:v>Pinheiros</x:v>
      </x:c>
      <x:c r="C8" s="52" t="n">
        <x:v>4259</x:v>
      </x:c>
      <x:c r="D8" s="53" t="n">
        <x:v>20.5</x:v>
      </x:c>
      <x:c r="E8" s="54" t="n">
        <x:v>75</x:v>
      </x:c>
      <x:c r="F8" s="54" t="n">
        <x:v>597</x:v>
      </x:c>
      <x:c r="G8" s="53" t="n">
        <x:v>33.2</x:v>
      </x:c>
      <x:c r="H8" s="55" t="str">
        <x:f>IF(G8&lt;=25,"Boa",IF(G8&lt;=50,"Moderada",IF(G8&lt;=75,"Ruim","Muito Ruim")))</x:f>
        <x:v>Moderada</x:v>
      </x:c>
    </x:row>
    <x:row r="9" ht="20" customHeight="1">
      <x:c r="A9" s="44" t="n">
        <x:v>46235</x:v>
      </x:c>
      <x:c r="B9" s="45" t="str">
        <x:v>Zona Sul (Ibirapuera)</x:v>
      </x:c>
      <x:c r="C9" s="46" t="n">
        <x:v>3972</x:v>
      </x:c>
      <x:c r="D9" s="47" t="n">
        <x:v>26.1</x:v>
      </x:c>
      <x:c r="E9" s="48" t="n">
        <x:v>59</x:v>
      </x:c>
      <x:c r="F9" s="48" t="n">
        <x:v>565</x:v>
      </x:c>
      <x:c r="G9" s="47" t="n">
        <x:v>20.2</x:v>
      </x:c>
      <x:c r="H9" s="49" t="str">
        <x:f>IF(G9&lt;=25,"Boa",IF(G9&lt;=50,"Moderada",IF(G9&lt;=75,"Ruim","Muito Ruim")))</x:f>
        <x:v>Boa</x:v>
      </x:c>
    </x:row>
    <x:row r="10" ht="20" customHeight="1">
      <x:c r="A10" s="50" t="n">
        <x:v>46235</x:v>
      </x:c>
      <x:c r="B10" s="51" t="str">
        <x:v>Vila Mariana</x:v>
      </x:c>
      <x:c r="C10" s="52" t="n">
        <x:v>4569</x:v>
      </x:c>
      <x:c r="D10" s="53" t="n">
        <x:v>21.5</x:v>
      </x:c>
      <x:c r="E10" s="54" t="n">
        <x:v>75</x:v>
      </x:c>
      <x:c r="F10" s="54" t="n">
        <x:v>624</x:v>
      </x:c>
      <x:c r="G10" s="53" t="n">
        <x:v>21.9</x:v>
      </x:c>
      <x:c r="H10" s="55" t="str">
        <x:f>IF(G10&lt;=25,"Boa",IF(G10&lt;=50,"Moderada",IF(G10&lt;=75,"Ruim","Muito Ruim")))</x:f>
        <x:v>Boa</x:v>
      </x:c>
    </x:row>
    <x:row r="11" ht="20" customHeight="1">
      <x:c r="A11" s="44" t="n">
        <x:v>46235</x:v>
      </x:c>
      <x:c r="B11" s="45" t="str">
        <x:v>Santana</x:v>
      </x:c>
      <x:c r="C11" s="46" t="n">
        <x:v>4995</x:v>
      </x:c>
      <x:c r="D11" s="47" t="n">
        <x:v>27.9</x:v>
      </x:c>
      <x:c r="E11" s="48" t="n">
        <x:v>68</x:v>
      </x:c>
      <x:c r="F11" s="48" t="n">
        <x:v>580</x:v>
      </x:c>
      <x:c r="G11" s="47" t="n">
        <x:v>33.3</x:v>
      </x:c>
      <x:c r="H11" s="49" t="str">
        <x:f>IF(G11&lt;=25,"Boa",IF(G11&lt;=50,"Moderada",IF(G11&lt;=75,"Ruim","Muito Ruim")))</x:f>
        <x:v>Moderada</x:v>
      </x:c>
    </x:row>
    <x:row r="12" ht="20" customHeight="1">
      <x:c r="A12" s="50" t="n">
        <x:v>46235</x:v>
      </x:c>
      <x:c r="B12" s="51" t="str">
        <x:v>Lapa</x:v>
      </x:c>
      <x:c r="C12" s="52" t="n">
        <x:v>5518</x:v>
      </x:c>
      <x:c r="D12" s="53" t="n">
        <x:v>22.8</x:v>
      </x:c>
      <x:c r="E12" s="54" t="n">
        <x:v>80</x:v>
      </x:c>
      <x:c r="F12" s="54" t="n">
        <x:v>560</x:v>
      </x:c>
      <x:c r="G12" s="53" t="n">
        <x:v>33.3</x:v>
      </x:c>
      <x:c r="H12" s="55" t="str">
        <x:f>IF(G12&lt;=25,"Boa",IF(G12&lt;=50,"Moderada",IF(G12&lt;=75,"Ruim","Muito Ruim")))</x:f>
        <x:v>Moderada</x:v>
      </x:c>
    </x:row>
    <x:row r="13" ht="20" customHeight="1">
      <x:c r="A13" s="44" t="n">
        <x:v>46235</x:v>
      </x:c>
      <x:c r="B13" s="45" t="str">
        <x:v>Moema</x:v>
      </x:c>
      <x:c r="C13" s="46" t="n">
        <x:v>5415</x:v>
      </x:c>
      <x:c r="D13" s="47" t="n">
        <x:v>24.6</x:v>
      </x:c>
      <x:c r="E13" s="48" t="n">
        <x:v>74</x:v>
      </x:c>
      <x:c r="F13" s="48" t="n">
        <x:v>546</x:v>
      </x:c>
      <x:c r="G13" s="47" t="n">
        <x:v>22.3</x:v>
      </x:c>
      <x:c r="H13" s="49" t="str">
        <x:f>IF(G13&lt;=25,"Boa",IF(G13&lt;=50,"Moderada",IF(G13&lt;=75,"Ruim","Muito Ruim")))</x:f>
        <x:v>Boa</x:v>
      </x:c>
    </x:row>
    <x:row r="14" ht="20" customHeight="1">
      <x:c r="A14" s="50" t="n">
        <x:v>46235</x:v>
      </x:c>
      <x:c r="B14" s="51" t="str">
        <x:v>Santo Amaro</x:v>
      </x:c>
      <x:c r="C14" s="52" t="n">
        <x:v>6052</x:v>
      </x:c>
      <x:c r="D14" s="53" t="n">
        <x:v>19.7</x:v>
      </x:c>
      <x:c r="E14" s="54" t="n">
        <x:v>69</x:v>
      </x:c>
      <x:c r="F14" s="54" t="n">
        <x:v>646</x:v>
      </x:c>
      <x:c r="G14" s="53" t="n">
        <x:v>41.7</x:v>
      </x:c>
      <x:c r="H14" s="55" t="str">
        <x:f>IF(G14&lt;=25,"Boa",IF(G14&lt;=50,"Moderada",IF(G14&lt;=75,"Ruim","Muito Ruim")))</x:f>
        <x:v>Moderada</x:v>
      </x:c>
    </x:row>
    <x:row r="15" ht="20" customHeight="1">
      <x:c r="A15" s="44" t="n">
        <x:v>46235</x:v>
      </x:c>
      <x:c r="B15" s="45" t="str">
        <x:v>Itaquera</x:v>
      </x:c>
      <x:c r="C15" s="46" t="n">
        <x:v>6104</x:v>
      </x:c>
      <x:c r="D15" s="47" t="n">
        <x:v>26.6</x:v>
      </x:c>
      <x:c r="E15" s="48" t="n">
        <x:v>82</x:v>
      </x:c>
      <x:c r="F15" s="48" t="n">
        <x:v>692</x:v>
      </x:c>
      <x:c r="G15" s="47" t="n">
        <x:v>49.9</x:v>
      </x:c>
      <x:c r="H15" s="49" t="str">
        <x:f>IF(G15&lt;=25,"Boa",IF(G15&lt;=50,"Moderada",IF(G15&lt;=75,"Ruim","Muito Ruim")))</x:f>
        <x:v>Moderada</x:v>
      </x:c>
    </x:row>
    <x:row r="16" ht="20" customHeight="1">
      <x:c r="A16" s="50" t="n">
        <x:v>46235</x:v>
      </x:c>
      <x:c r="B16" s="51" t="str">
        <x:v>São Mateus</x:v>
      </x:c>
      <x:c r="C16" s="52" t="n">
        <x:v>6327</x:v>
      </x:c>
      <x:c r="D16" s="53" t="n">
        <x:v>25.7</x:v>
      </x:c>
      <x:c r="E16" s="54" t="n">
        <x:v>70</x:v>
      </x:c>
      <x:c r="F16" s="54" t="n">
        <x:v>659</x:v>
      </x:c>
      <x:c r="G16" s="53" t="n">
        <x:v>33.7</x:v>
      </x:c>
      <x:c r="H16" s="55" t="str">
        <x:f>IF(G16&lt;=25,"Boa",IF(G16&lt;=50,"Moderada",IF(G16&lt;=75,"Ruim","Muito Ruim")))</x:f>
        <x:v>Moderada</x:v>
      </x:c>
    </x:row>
    <x:row r="17" ht="20" customHeight="1">
      <x:c r="A17" s="44" t="n">
        <x:v>46236</x:v>
      </x:c>
      <x:c r="B17" s="45" t="str">
        <x:v>Centro</x:v>
      </x:c>
      <x:c r="C17" s="46" t="n">
        <x:v>4941</x:v>
      </x:c>
      <x:c r="D17" s="47" t="n">
        <x:v>28</x:v>
      </x:c>
      <x:c r="E17" s="48" t="n">
        <x:v>68</x:v>
      </x:c>
      <x:c r="F17" s="48" t="n">
        <x:v>598</x:v>
      </x:c>
      <x:c r="G17" s="47" t="n">
        <x:v>28.5</x:v>
      </x:c>
      <x:c r="H17" s="49" t="str">
        <x:f>IF(G17&lt;=25,"Boa",IF(G17&lt;=50,"Moderada",IF(G17&lt;=75,"Ruim","Muito Ruim")))</x:f>
        <x:v>Moderada</x:v>
      </x:c>
    </x:row>
    <x:row r="18" ht="20" customHeight="1">
      <x:c r="A18" s="50" t="n">
        <x:v>46236</x:v>
      </x:c>
      <x:c r="B18" s="51" t="str">
        <x:v>Marginal Tietê</x:v>
      </x:c>
      <x:c r="C18" s="52" t="n">
        <x:v>9035</x:v>
      </x:c>
      <x:c r="D18" s="53" t="n">
        <x:v>22</x:v>
      </x:c>
      <x:c r="E18" s="54" t="n">
        <x:v>71</x:v>
      </x:c>
      <x:c r="F18" s="54" t="n">
        <x:v>751</x:v>
      </x:c>
      <x:c r="G18" s="53" t="n">
        <x:v>67.9</x:v>
      </x:c>
      <x:c r="H18" s="55" t="str">
        <x:f>IF(G18&lt;=25,"Boa",IF(G18&lt;=50,"Moderada",IF(G18&lt;=75,"Ruim","Muito Ruim")))</x:f>
        <x:v>Ruim</x:v>
      </x:c>
    </x:row>
    <x:row r="19" ht="20" customHeight="1">
      <x:c r="A19" s="44" t="n">
        <x:v>46236</x:v>
      </x:c>
      <x:c r="B19" s="45" t="str">
        <x:v>Paulista</x:v>
      </x:c>
      <x:c r="C19" s="46" t="n">
        <x:v>7732</x:v>
      </x:c>
      <x:c r="D19" s="47" t="n">
        <x:v>25.4</x:v>
      </x:c>
      <x:c r="E19" s="48" t="n">
        <x:v>66</x:v>
      </x:c>
      <x:c r="F19" s="48" t="n">
        <x:v>677</x:v>
      </x:c>
      <x:c r="G19" s="47" t="n">
        <x:v>43.9</x:v>
      </x:c>
      <x:c r="H19" s="49" t="str">
        <x:f>IF(G19&lt;=25,"Boa",IF(G19&lt;=50,"Moderada",IF(G19&lt;=75,"Ruim","Muito Ruim")))</x:f>
        <x:v>Moderada</x:v>
      </x:c>
    </x:row>
    <x:row r="20" ht="20" customHeight="1">
      <x:c r="A20" s="50" t="n">
        <x:v>46236</x:v>
      </x:c>
      <x:c r="B20" s="51" t="str">
        <x:v>Pinheiros</x:v>
      </x:c>
      <x:c r="C20" s="52" t="n">
        <x:v>3881</x:v>
      </x:c>
      <x:c r="D20" s="53" t="n">
        <x:v>21.5</x:v>
      </x:c>
      <x:c r="E20" s="54" t="n">
        <x:v>75</x:v>
      </x:c>
      <x:c r="F20" s="54" t="n">
        <x:v>533</x:v>
      </x:c>
      <x:c r="G20" s="53" t="n">
        <x:v>28.9</x:v>
      </x:c>
      <x:c r="H20" s="55" t="str">
        <x:f>IF(G20&lt;=25,"Boa",IF(G20&lt;=50,"Moderada",IF(G20&lt;=75,"Ruim","Muito Ruim")))</x:f>
        <x:v>Moderada</x:v>
      </x:c>
    </x:row>
    <x:row r="21" ht="20" customHeight="1">
      <x:c r="A21" s="44" t="n">
        <x:v>46236</x:v>
      </x:c>
      <x:c r="B21" s="45" t="str">
        <x:v>Zona Sul (Ibirapuera)</x:v>
      </x:c>
      <x:c r="C21" s="46" t="n">
        <x:v>4182</x:v>
      </x:c>
      <x:c r="D21" s="47" t="n">
        <x:v>20.8</x:v>
      </x:c>
      <x:c r="E21" s="48" t="n">
        <x:v>77</x:v>
      </x:c>
      <x:c r="F21" s="48" t="n">
        <x:v>562</x:v>
      </x:c>
      <x:c r="G21" s="47" t="n">
        <x:v>30.9</x:v>
      </x:c>
      <x:c r="H21" s="49" t="str">
        <x:f>IF(G21&lt;=25,"Boa",IF(G21&lt;=50,"Moderada",IF(G21&lt;=75,"Ruim","Muito Ruim")))</x:f>
        <x:v>Moderada</x:v>
      </x:c>
    </x:row>
    <x:row r="22" ht="20" customHeight="1">
      <x:c r="A22" s="50" t="n">
        <x:v>46236</x:v>
      </x:c>
      <x:c r="B22" s="51" t="str">
        <x:v>Vila Mariana</x:v>
      </x:c>
      <x:c r="C22" s="52" t="n">
        <x:v>4360</x:v>
      </x:c>
      <x:c r="D22" s="53" t="n">
        <x:v>25.9</x:v>
      </x:c>
      <x:c r="E22" s="54" t="n">
        <x:v>67</x:v>
      </x:c>
      <x:c r="F22" s="54" t="n">
        <x:v>555</x:v>
      </x:c>
      <x:c r="G22" s="53" t="n">
        <x:v>29.3</x:v>
      </x:c>
      <x:c r="H22" s="55" t="str">
        <x:f>IF(G22&lt;=25,"Boa",IF(G22&lt;=50,"Moderada",IF(G22&lt;=75,"Ruim","Muito Ruim")))</x:f>
        <x:v>Moderada</x:v>
      </x:c>
    </x:row>
    <x:row r="23" ht="20" customHeight="1">
      <x:c r="A23" s="44" t="n">
        <x:v>46236</x:v>
      </x:c>
      <x:c r="B23" s="45" t="str">
        <x:v>Santana</x:v>
      </x:c>
      <x:c r="C23" s="46" t="n">
        <x:v>5315</x:v>
      </x:c>
      <x:c r="D23" s="47" t="n">
        <x:v>21.5</x:v>
      </x:c>
      <x:c r="E23" s="48" t="n">
        <x:v>67</x:v>
      </x:c>
      <x:c r="F23" s="48" t="n">
        <x:v>639</x:v>
      </x:c>
      <x:c r="G23" s="47" t="n">
        <x:v>38.7</x:v>
      </x:c>
      <x:c r="H23" s="49" t="str">
        <x:f>IF(G23&lt;=25,"Boa",IF(G23&lt;=50,"Moderada",IF(G23&lt;=75,"Ruim","Muito Ruim")))</x:f>
        <x:v>Moderada</x:v>
      </x:c>
    </x:row>
    <x:row r="24" ht="20" customHeight="1">
      <x:c r="A24" s="50" t="n">
        <x:v>46236</x:v>
      </x:c>
      <x:c r="B24" s="51" t="str">
        <x:v>Lapa</x:v>
      </x:c>
      <x:c r="C24" s="52" t="n">
        <x:v>5304</x:v>
      </x:c>
      <x:c r="D24" s="53" t="n">
        <x:v>21.1</x:v>
      </x:c>
      <x:c r="E24" s="54" t="n">
        <x:v>74</x:v>
      </x:c>
      <x:c r="F24" s="54" t="n">
        <x:v>582</x:v>
      </x:c>
      <x:c r="G24" s="53" t="n">
        <x:v>42.6</x:v>
      </x:c>
      <x:c r="H24" s="55" t="str">
        <x:f>IF(G24&lt;=25,"Boa",IF(G24&lt;=50,"Moderada",IF(G24&lt;=75,"Ruim","Muito Ruim")))</x:f>
        <x:v>Moderada</x:v>
      </x:c>
    </x:row>
    <x:row r="25" ht="20" customHeight="1">
      <x:c r="A25" s="44" t="n">
        <x:v>46236</x:v>
      </x:c>
      <x:c r="B25" s="45" t="str">
        <x:v>Moema</x:v>
      </x:c>
      <x:c r="C25" s="46" t="n">
        <x:v>4870</x:v>
      </x:c>
      <x:c r="D25" s="47" t="n">
        <x:v>27.3</x:v>
      </x:c>
      <x:c r="E25" s="48" t="n">
        <x:v>76</x:v>
      </x:c>
      <x:c r="F25" s="48" t="n">
        <x:v>623</x:v>
      </x:c>
      <x:c r="G25" s="47" t="n">
        <x:v>34</x:v>
      </x:c>
      <x:c r="H25" s="49" t="str">
        <x:f>IF(G25&lt;=25,"Boa",IF(G25&lt;=50,"Moderada",IF(G25&lt;=75,"Ruim","Muito Ruim")))</x:f>
        <x:v>Moderada</x:v>
      </x:c>
    </x:row>
    <x:row r="26" ht="20" customHeight="1">
      <x:c r="A26" s="50" t="n">
        <x:v>46236</x:v>
      </x:c>
      <x:c r="B26" s="51" t="str">
        <x:v>Santo Amaro</x:v>
      </x:c>
      <x:c r="C26" s="52" t="n">
        <x:v>6629</x:v>
      </x:c>
      <x:c r="D26" s="53" t="n">
        <x:v>26.8</x:v>
      </x:c>
      <x:c r="E26" s="54" t="n">
        <x:v>61</x:v>
      </x:c>
      <x:c r="F26" s="54" t="n">
        <x:v>625</x:v>
      </x:c>
      <x:c r="G26" s="53" t="n">
        <x:v>45.3</x:v>
      </x:c>
      <x:c r="H26" s="55" t="str">
        <x:f>IF(G26&lt;=25,"Boa",IF(G26&lt;=50,"Moderada",IF(G26&lt;=75,"Ruim","Muito Ruim")))</x:f>
        <x:v>Moderada</x:v>
      </x:c>
    </x:row>
    <x:row r="27" ht="20" customHeight="1">
      <x:c r="A27" s="44" t="n">
        <x:v>46236</x:v>
      </x:c>
      <x:c r="B27" s="45" t="str">
        <x:v>Itaquera</x:v>
      </x:c>
      <x:c r="C27" s="46" t="n">
        <x:v>7571</x:v>
      </x:c>
      <x:c r="D27" s="47" t="n">
        <x:v>19.4</x:v>
      </x:c>
      <x:c r="E27" s="48" t="n">
        <x:v>72</x:v>
      </x:c>
      <x:c r="F27" s="48" t="n">
        <x:v>733</x:v>
      </x:c>
      <x:c r="G27" s="47" t="n">
        <x:v>54.6</x:v>
      </x:c>
      <x:c r="H27" s="49" t="str">
        <x:f>IF(G27&lt;=25,"Boa",IF(G27&lt;=50,"Moderada",IF(G27&lt;=75,"Ruim","Muito Ruim")))</x:f>
        <x:v>Ruim</x:v>
      </x:c>
    </x:row>
    <x:row r="28" ht="20" customHeight="1">
      <x:c r="A28" s="50" t="n">
        <x:v>46236</x:v>
      </x:c>
      <x:c r="B28" s="51" t="str">
        <x:v>São Mateus</x:v>
      </x:c>
      <x:c r="C28" s="52" t="n">
        <x:v>6885</x:v>
      </x:c>
      <x:c r="D28" s="53" t="n">
        <x:v>27.7</x:v>
      </x:c>
      <x:c r="E28" s="54" t="n">
        <x:v>56</x:v>
      </x:c>
      <x:c r="F28" s="54" t="n">
        <x:v>631</x:v>
      </x:c>
      <x:c r="G28" s="53" t="n">
        <x:v>34.9</x:v>
      </x:c>
      <x:c r="H28" s="55" t="str">
        <x:f>IF(G28&lt;=25,"Boa",IF(G28&lt;=50,"Moderada",IF(G28&lt;=75,"Ruim","Muito Ruim")))</x:f>
        <x:v>Moderada</x:v>
      </x:c>
    </x:row>
    <x:row r="29" ht="20" customHeight="1">
      <x:c r="A29" s="44" t="n">
        <x:v>46237</x:v>
      </x:c>
      <x:c r="B29" s="45" t="str">
        <x:v>Centro</x:v>
      </x:c>
      <x:c r="C29" s="46" t="n">
        <x:v>5841</x:v>
      </x:c>
      <x:c r="D29" s="47" t="n">
        <x:v>24.5</x:v>
      </x:c>
      <x:c r="E29" s="48" t="n">
        <x:v>73</x:v>
      </x:c>
      <x:c r="F29" s="48" t="n">
        <x:v>677</x:v>
      </x:c>
      <x:c r="G29" s="47" t="n">
        <x:v>38.8</x:v>
      </x:c>
      <x:c r="H29" s="49" t="str">
        <x:f>IF(G29&lt;=25,"Boa",IF(G29&lt;=50,"Moderada",IF(G29&lt;=75,"Ruim","Muito Ruim")))</x:f>
        <x:v>Moderada</x:v>
      </x:c>
    </x:row>
    <x:row r="30" ht="20" customHeight="1">
      <x:c r="A30" s="50" t="n">
        <x:v>46237</x:v>
      </x:c>
      <x:c r="B30" s="51" t="str">
        <x:v>Marginal Tietê</x:v>
      </x:c>
      <x:c r="C30" s="52" t="n">
        <x:v>7948</x:v>
      </x:c>
      <x:c r="D30" s="53" t="n">
        <x:v>22.5</x:v>
      </x:c>
      <x:c r="E30" s="54" t="n">
        <x:v>64</x:v>
      </x:c>
      <x:c r="F30" s="54" t="n">
        <x:v>760</x:v>
      </x:c>
      <x:c r="G30" s="53" t="n">
        <x:v>62.6</x:v>
      </x:c>
      <x:c r="H30" s="55" t="str">
        <x:f>IF(G30&lt;=25,"Boa",IF(G30&lt;=50,"Moderada",IF(G30&lt;=75,"Ruim","Muito Ruim")))</x:f>
        <x:v>Ruim</x:v>
      </x:c>
    </x:row>
    <x:row r="31" ht="20" customHeight="1">
      <x:c r="A31" s="44" t="n">
        <x:v>46237</x:v>
      </x:c>
      <x:c r="B31" s="45" t="str">
        <x:v>Paulista</x:v>
      </x:c>
      <x:c r="C31" s="46" t="n">
        <x:v>6884</x:v>
      </x:c>
      <x:c r="D31" s="47" t="n">
        <x:v>21</x:v>
      </x:c>
      <x:c r="E31" s="48" t="n">
        <x:v>73</x:v>
      </x:c>
      <x:c r="F31" s="48" t="n">
        <x:v>727</x:v>
      </x:c>
      <x:c r="G31" s="47" t="n">
        <x:v>34.6</x:v>
      </x:c>
      <x:c r="H31" s="49" t="str">
        <x:f>IF(G31&lt;=25,"Boa",IF(G31&lt;=50,"Moderada",IF(G31&lt;=75,"Ruim","Muito Ruim")))</x:f>
        <x:v>Moderada</x:v>
      </x:c>
    </x:row>
    <x:row r="32" ht="20" customHeight="1">
      <x:c r="A32" s="50" t="n">
        <x:v>46237</x:v>
      </x:c>
      <x:c r="B32" s="51" t="str">
        <x:v>Pinheiros</x:v>
      </x:c>
      <x:c r="C32" s="52" t="n">
        <x:v>3719</x:v>
      </x:c>
      <x:c r="D32" s="53" t="n">
        <x:v>27.8</x:v>
      </x:c>
      <x:c r="E32" s="54" t="n">
        <x:v>77</x:v>
      </x:c>
      <x:c r="F32" s="54" t="n">
        <x:v>568</x:v>
      </x:c>
      <x:c r="G32" s="53" t="n">
        <x:v>18.6</x:v>
      </x:c>
      <x:c r="H32" s="55" t="str">
        <x:f>IF(G32&lt;=25,"Boa",IF(G32&lt;=50,"Moderada",IF(G32&lt;=75,"Ruim","Muito Ruim")))</x:f>
        <x:v>Boa</x:v>
      </x:c>
    </x:row>
    <x:row r="33" ht="20" customHeight="1">
      <x:c r="A33" s="44" t="n">
        <x:v>46237</x:v>
      </x:c>
      <x:c r="B33" s="45" t="str">
        <x:v>Zona Sul (Ibirapuera)</x:v>
      </x:c>
      <x:c r="C33" s="46" t="n">
        <x:v>5057</x:v>
      </x:c>
      <x:c r="D33" s="47" t="n">
        <x:v>28.6</x:v>
      </x:c>
      <x:c r="E33" s="48" t="n">
        <x:v>76</x:v>
      </x:c>
      <x:c r="F33" s="48" t="n">
        <x:v>580</x:v>
      </x:c>
      <x:c r="G33" s="47" t="n">
        <x:v>26.8</x:v>
      </x:c>
      <x:c r="H33" s="49" t="str">
        <x:f>IF(G33&lt;=25,"Boa",IF(G33&lt;=50,"Moderada",IF(G33&lt;=75,"Ruim","Muito Ruim")))</x:f>
        <x:v>Moderada</x:v>
      </x:c>
    </x:row>
    <x:row r="34" ht="20" customHeight="1">
      <x:c r="A34" s="50" t="n">
        <x:v>46237</x:v>
      </x:c>
      <x:c r="B34" s="51" t="str">
        <x:v>Vila Mariana</x:v>
      </x:c>
      <x:c r="C34" s="52" t="n">
        <x:v>4570</x:v>
      </x:c>
      <x:c r="D34" s="53" t="n">
        <x:v>23.9</x:v>
      </x:c>
      <x:c r="E34" s="54" t="n">
        <x:v>80</x:v>
      </x:c>
      <x:c r="F34" s="54" t="n">
        <x:v>603</x:v>
      </x:c>
      <x:c r="G34" s="53" t="n">
        <x:v>30.4</x:v>
      </x:c>
      <x:c r="H34" s="55" t="str">
        <x:f>IF(G34&lt;=25,"Boa",IF(G34&lt;=50,"Moderada",IF(G34&lt;=75,"Ruim","Muito Ruim")))</x:f>
        <x:v>Moderada</x:v>
      </x:c>
    </x:row>
    <x:row r="35" ht="20" customHeight="1">
      <x:c r="A35" s="44" t="n">
        <x:v>46237</x:v>
      </x:c>
      <x:c r="B35" s="45" t="str">
        <x:v>Santana</x:v>
      </x:c>
      <x:c r="C35" s="46" t="n">
        <x:v>5538</x:v>
      </x:c>
      <x:c r="D35" s="47" t="n">
        <x:v>27.1</x:v>
      </x:c>
      <x:c r="E35" s="48" t="n">
        <x:v>67</x:v>
      </x:c>
      <x:c r="F35" s="48" t="n">
        <x:v>664</x:v>
      </x:c>
      <x:c r="G35" s="47" t="n">
        <x:v>38</x:v>
      </x:c>
      <x:c r="H35" s="49" t="str">
        <x:f>IF(G35&lt;=25,"Boa",IF(G35&lt;=50,"Moderada",IF(G35&lt;=75,"Ruim","Muito Ruim")))</x:f>
        <x:v>Moderada</x:v>
      </x:c>
    </x:row>
    <x:row r="36" ht="20" customHeight="1">
      <x:c r="A36" s="50" t="n">
        <x:v>46237</x:v>
      </x:c>
      <x:c r="B36" s="51" t="str">
        <x:v>Lapa</x:v>
      </x:c>
      <x:c r="C36" s="52" t="n">
        <x:v>4806</x:v>
      </x:c>
      <x:c r="D36" s="53" t="n">
        <x:v>23.9</x:v>
      </x:c>
      <x:c r="E36" s="54" t="n">
        <x:v>75</x:v>
      </x:c>
      <x:c r="F36" s="54" t="n">
        <x:v>574</x:v>
      </x:c>
      <x:c r="G36" s="53" t="n">
        <x:v>32.2</x:v>
      </x:c>
      <x:c r="H36" s="55" t="str">
        <x:f>IF(G36&lt;=25,"Boa",IF(G36&lt;=50,"Moderada",IF(G36&lt;=75,"Ruim","Muito Ruim")))</x:f>
        <x:v>Moderada</x:v>
      </x:c>
    </x:row>
    <x:row r="37" ht="20" customHeight="1">
      <x:c r="A37" s="44" t="n">
        <x:v>46237</x:v>
      </x:c>
      <x:c r="B37" s="45" t="str">
        <x:v>Moema</x:v>
      </x:c>
      <x:c r="C37" s="46" t="n">
        <x:v>5058</x:v>
      </x:c>
      <x:c r="D37" s="47" t="n">
        <x:v>24.7</x:v>
      </x:c>
      <x:c r="E37" s="48" t="n">
        <x:v>74</x:v>
      </x:c>
      <x:c r="F37" s="48" t="n">
        <x:v>637</x:v>
      </x:c>
      <x:c r="G37" s="47" t="n">
        <x:v>35.4</x:v>
      </x:c>
      <x:c r="H37" s="49" t="str">
        <x:f>IF(G37&lt;=25,"Boa",IF(G37&lt;=50,"Moderada",IF(G37&lt;=75,"Ruim","Muito Ruim")))</x:f>
        <x:v>Moderada</x:v>
      </x:c>
    </x:row>
    <x:row r="38" ht="20" customHeight="1">
      <x:c r="A38" s="50" t="n">
        <x:v>46237</x:v>
      </x:c>
      <x:c r="B38" s="51" t="str">
        <x:v>Santo Amaro</x:v>
      </x:c>
      <x:c r="C38" s="52" t="n">
        <x:v>7310</x:v>
      </x:c>
      <x:c r="D38" s="53" t="n">
        <x:v>21.1</x:v>
      </x:c>
      <x:c r="E38" s="54" t="n">
        <x:v>70</x:v>
      </x:c>
      <x:c r="F38" s="54" t="n">
        <x:v>700</x:v>
      </x:c>
      <x:c r="G38" s="53" t="n">
        <x:v>39.6</x:v>
      </x:c>
      <x:c r="H38" s="55" t="str">
        <x:f>IF(G38&lt;=25,"Boa",IF(G38&lt;=50,"Moderada",IF(G38&lt;=75,"Ruim","Muito Ruim")))</x:f>
        <x:v>Moderada</x:v>
      </x:c>
    </x:row>
    <x:row r="39" ht="20" customHeight="1">
      <x:c r="A39" s="44" t="n">
        <x:v>46237</x:v>
      </x:c>
      <x:c r="B39" s="45" t="str">
        <x:v>Itaquera</x:v>
      </x:c>
      <x:c r="C39" s="46" t="n">
        <x:v>6465</x:v>
      </x:c>
      <x:c r="D39" s="47" t="n">
        <x:v>22.9</x:v>
      </x:c>
      <x:c r="E39" s="48" t="n">
        <x:v>76</x:v>
      </x:c>
      <x:c r="F39" s="48" t="n">
        <x:v>651</x:v>
      </x:c>
      <x:c r="G39" s="47" t="n">
        <x:v>46.5</x:v>
      </x:c>
      <x:c r="H39" s="49" t="str">
        <x:f>IF(G39&lt;=25,"Boa",IF(G39&lt;=50,"Moderada",IF(G39&lt;=75,"Ruim","Muito Ruim")))</x:f>
        <x:v>Moderada</x:v>
      </x:c>
    </x:row>
    <x:row r="40" ht="20" customHeight="1">
      <x:c r="A40" s="50" t="n">
        <x:v>46237</x:v>
      </x:c>
      <x:c r="B40" s="51" t="str">
        <x:v>São Mateus</x:v>
      </x:c>
      <x:c r="C40" s="52" t="n">
        <x:v>6714</x:v>
      </x:c>
      <x:c r="D40" s="53" t="n">
        <x:v>27.3</x:v>
      </x:c>
      <x:c r="E40" s="54" t="n">
        <x:v>72</x:v>
      </x:c>
      <x:c r="F40" s="54" t="n">
        <x:v>710</x:v>
      </x:c>
      <x:c r="G40" s="53" t="n">
        <x:v>44.8</x:v>
      </x:c>
      <x:c r="H40" s="55" t="str">
        <x:f>IF(G40&lt;=25,"Boa",IF(G40&lt;=50,"Moderada",IF(G40&lt;=75,"Ruim","Muito Ruim")))</x:f>
        <x:v>Moderada</x:v>
      </x:c>
    </x:row>
    <x:row r="41" ht="20" customHeight="1">
      <x:c r="A41" s="44" t="n">
        <x:v>46238</x:v>
      </x:c>
      <x:c r="B41" s="45" t="str">
        <x:v>Centro</x:v>
      </x:c>
      <x:c r="C41" s="46" t="n">
        <x:v>6343</x:v>
      </x:c>
      <x:c r="D41" s="47" t="n">
        <x:v>21.5</x:v>
      </x:c>
      <x:c r="E41" s="48" t="n">
        <x:v>65</x:v>
      </x:c>
      <x:c r="F41" s="48" t="n">
        <x:v>652</x:v>
      </x:c>
      <x:c r="G41" s="47" t="n">
        <x:v>34</x:v>
      </x:c>
      <x:c r="H41" s="49" t="str">
        <x:f>IF(G41&lt;=25,"Boa",IF(G41&lt;=50,"Moderada",IF(G41&lt;=75,"Ruim","Muito Ruim")))</x:f>
        <x:v>Moderada</x:v>
      </x:c>
    </x:row>
    <x:row r="42" ht="20" customHeight="1">
      <x:c r="A42" s="50" t="n">
        <x:v>46238</x:v>
      </x:c>
      <x:c r="B42" s="51" t="str">
        <x:v>Marginal Tietê</x:v>
      </x:c>
      <x:c r="C42" s="52" t="n">
        <x:v>8385</x:v>
      </x:c>
      <x:c r="D42" s="53" t="n">
        <x:v>26</x:v>
      </x:c>
      <x:c r="E42" s="54" t="n">
        <x:v>55</x:v>
      </x:c>
      <x:c r="F42" s="54" t="n">
        <x:v>799</x:v>
      </x:c>
      <x:c r="G42" s="53" t="n">
        <x:v>50.3</x:v>
      </x:c>
      <x:c r="H42" s="55" t="str">
        <x:f>IF(G42&lt;=25,"Boa",IF(G42&lt;=50,"Moderada",IF(G42&lt;=75,"Ruim","Muito Ruim")))</x:f>
        <x:v>Ruim</x:v>
      </x:c>
    </x:row>
    <x:row r="43" ht="20" customHeight="1">
      <x:c r="A43" s="44" t="n">
        <x:v>46238</x:v>
      </x:c>
      <x:c r="B43" s="45" t="str">
        <x:v>Paulista</x:v>
      </x:c>
      <x:c r="C43" s="46" t="n">
        <x:v>7488</x:v>
      </x:c>
      <x:c r="D43" s="47" t="n">
        <x:v>24.8</x:v>
      </x:c>
      <x:c r="E43" s="48" t="n">
        <x:v>74</x:v>
      </x:c>
      <x:c r="F43" s="48" t="n">
        <x:v>730</x:v>
      </x:c>
      <x:c r="G43" s="47" t="n">
        <x:v>42</x:v>
      </x:c>
      <x:c r="H43" s="49" t="str">
        <x:f>IF(G43&lt;=25,"Boa",IF(G43&lt;=50,"Moderada",IF(G43&lt;=75,"Ruim","Muito Ruim")))</x:f>
        <x:v>Moderada</x:v>
      </x:c>
    </x:row>
    <x:row r="44" ht="20" customHeight="1">
      <x:c r="A44" s="50" t="n">
        <x:v>46238</x:v>
      </x:c>
      <x:c r="B44" s="51" t="str">
        <x:v>Pinheiros</x:v>
      </x:c>
      <x:c r="C44" s="52" t="n">
        <x:v>4706</x:v>
      </x:c>
      <x:c r="D44" s="53" t="n">
        <x:v>22.1</x:v>
      </x:c>
      <x:c r="E44" s="54" t="n">
        <x:v>76</x:v>
      </x:c>
      <x:c r="F44" s="54" t="n">
        <x:v>593</x:v>
      </x:c>
      <x:c r="G44" s="53" t="n">
        <x:v>43.7</x:v>
      </x:c>
      <x:c r="H44" s="55" t="str">
        <x:f>IF(G44&lt;=25,"Boa",IF(G44&lt;=50,"Moderada",IF(G44&lt;=75,"Ruim","Muito Ruim")))</x:f>
        <x:v>Moderada</x:v>
      </x:c>
    </x:row>
    <x:row r="45" ht="20" customHeight="1">
      <x:c r="A45" s="44" t="n">
        <x:v>46238</x:v>
      </x:c>
      <x:c r="B45" s="45" t="str">
        <x:v>Zona Sul (Ibirapuera)</x:v>
      </x:c>
      <x:c r="C45" s="46" t="n">
        <x:v>6022</x:v>
      </x:c>
      <x:c r="D45" s="47" t="n">
        <x:v>23.3</x:v>
      </x:c>
      <x:c r="E45" s="48" t="n">
        <x:v>72</x:v>
      </x:c>
      <x:c r="F45" s="48" t="n">
        <x:v>578</x:v>
      </x:c>
      <x:c r="G45" s="47" t="n">
        <x:v>30.2</x:v>
      </x:c>
      <x:c r="H45" s="49" t="str">
        <x:f>IF(G45&lt;=25,"Boa",IF(G45&lt;=50,"Moderada",IF(G45&lt;=75,"Ruim","Muito Ruim")))</x:f>
        <x:v>Moderada</x:v>
      </x:c>
    </x:row>
    <x:row r="46" ht="20" customHeight="1">
      <x:c r="A46" s="50" t="n">
        <x:v>46238</x:v>
      </x:c>
      <x:c r="B46" s="51" t="str">
        <x:v>Vila Mariana</x:v>
      </x:c>
      <x:c r="C46" s="52" t="n">
        <x:v>5825</x:v>
      </x:c>
      <x:c r="D46" s="53" t="n">
        <x:v>22.8</x:v>
      </x:c>
      <x:c r="E46" s="54" t="n">
        <x:v>72</x:v>
      </x:c>
      <x:c r="F46" s="54" t="n">
        <x:v>602</x:v>
      </x:c>
      <x:c r="G46" s="53" t="n">
        <x:v>26</x:v>
      </x:c>
      <x:c r="H46" s="55" t="str">
        <x:f>IF(G46&lt;=25,"Boa",IF(G46&lt;=50,"Moderada",IF(G46&lt;=75,"Ruim","Muito Ruim")))</x:f>
        <x:v>Moderada</x:v>
      </x:c>
    </x:row>
    <x:row r="47" ht="20" customHeight="1">
      <x:c r="A47" s="44" t="n">
        <x:v>46238</x:v>
      </x:c>
      <x:c r="B47" s="45" t="str">
        <x:v>Santana</x:v>
      </x:c>
      <x:c r="C47" s="46" t="n">
        <x:v>4809</x:v>
      </x:c>
      <x:c r="D47" s="47" t="n">
        <x:v>24</x:v>
      </x:c>
      <x:c r="E47" s="48" t="n">
        <x:v>74</x:v>
      </x:c>
      <x:c r="F47" s="48" t="n">
        <x:v>583</x:v>
      </x:c>
      <x:c r="G47" s="47" t="n">
        <x:v>42.5</x:v>
      </x:c>
      <x:c r="H47" s="49" t="str">
        <x:f>IF(G47&lt;=25,"Boa",IF(G47&lt;=50,"Moderada",IF(G47&lt;=75,"Ruim","Muito Ruim")))</x:f>
        <x:v>Moderada</x:v>
      </x:c>
    </x:row>
    <x:row r="48" ht="20" customHeight="1">
      <x:c r="A48" s="50" t="n">
        <x:v>46238</x:v>
      </x:c>
      <x:c r="B48" s="51" t="str">
        <x:v>Lapa</x:v>
      </x:c>
      <x:c r="C48" s="52" t="n">
        <x:v>5473</x:v>
      </x:c>
      <x:c r="D48" s="53" t="n">
        <x:v>25.5</x:v>
      </x:c>
      <x:c r="E48" s="54" t="n">
        <x:v>57</x:v>
      </x:c>
      <x:c r="F48" s="54" t="n">
        <x:v>598</x:v>
      </x:c>
      <x:c r="G48" s="53" t="n">
        <x:v>33.8</x:v>
      </x:c>
      <x:c r="H48" s="55" t="str">
        <x:f>IF(G48&lt;=25,"Boa",IF(G48&lt;=50,"Moderada",IF(G48&lt;=75,"Ruim","Muito Ruim")))</x:f>
        <x:v>Moderada</x:v>
      </x:c>
    </x:row>
    <x:row r="49" ht="20" customHeight="1">
      <x:c r="A49" s="44" t="n">
        <x:v>46238</x:v>
      </x:c>
      <x:c r="B49" s="45" t="str">
        <x:v>Moema</x:v>
      </x:c>
      <x:c r="C49" s="46" t="n">
        <x:v>4720</x:v>
      </x:c>
      <x:c r="D49" s="47" t="n">
        <x:v>28.2</x:v>
      </x:c>
      <x:c r="E49" s="48" t="n">
        <x:v>73</x:v>
      </x:c>
      <x:c r="F49" s="48" t="n">
        <x:v>542</x:v>
      </x:c>
      <x:c r="G49" s="47" t="n">
        <x:v>27.4</x:v>
      </x:c>
      <x:c r="H49" s="49" t="str">
        <x:f>IF(G49&lt;=25,"Boa",IF(G49&lt;=50,"Moderada",IF(G49&lt;=75,"Ruim","Muito Ruim")))</x:f>
        <x:v>Moderada</x:v>
      </x:c>
    </x:row>
    <x:row r="50" ht="20" customHeight="1">
      <x:c r="A50" s="50" t="n">
        <x:v>46238</x:v>
      </x:c>
      <x:c r="B50" s="51" t="str">
        <x:v>Santo Amaro</x:v>
      </x:c>
      <x:c r="C50" s="52" t="n">
        <x:v>4985</x:v>
      </x:c>
      <x:c r="D50" s="53" t="n">
        <x:v>25.4</x:v>
      </x:c>
      <x:c r="E50" s="54" t="n">
        <x:v>69</x:v>
      </x:c>
      <x:c r="F50" s="54" t="n">
        <x:v>572</x:v>
      </x:c>
      <x:c r="G50" s="53" t="n">
        <x:v>25.7</x:v>
      </x:c>
      <x:c r="H50" s="55" t="str">
        <x:f>IF(G50&lt;=25,"Boa",IF(G50&lt;=50,"Moderada",IF(G50&lt;=75,"Ruim","Muito Ruim")))</x:f>
        <x:v>Moderada</x:v>
      </x:c>
    </x:row>
    <x:row r="51" ht="20" customHeight="1">
      <x:c r="A51" s="44" t="n">
        <x:v>46238</x:v>
      </x:c>
      <x:c r="B51" s="45" t="str">
        <x:v>Itaquera</x:v>
      </x:c>
      <x:c r="C51" s="46" t="n">
        <x:v>7729</x:v>
      </x:c>
      <x:c r="D51" s="47" t="n">
        <x:v>20.6</x:v>
      </x:c>
      <x:c r="E51" s="48" t="n">
        <x:v>72</x:v>
      </x:c>
      <x:c r="F51" s="48" t="n">
        <x:v>688</x:v>
      </x:c>
      <x:c r="G51" s="47" t="n">
        <x:v>50.6</x:v>
      </x:c>
      <x:c r="H51" s="49" t="str">
        <x:f>IF(G51&lt;=25,"Boa",IF(G51&lt;=50,"Moderada",IF(G51&lt;=75,"Ruim","Muito Ruim")))</x:f>
        <x:v>Ruim</x:v>
      </x:c>
    </x:row>
    <x:row r="52" ht="20" customHeight="1">
      <x:c r="A52" s="50" t="n">
        <x:v>46238</x:v>
      </x:c>
      <x:c r="B52" s="51" t="str">
        <x:v>São Mateus</x:v>
      </x:c>
      <x:c r="C52" s="52" t="n">
        <x:v>7127</x:v>
      </x:c>
      <x:c r="D52" s="53" t="n">
        <x:v>27.1</x:v>
      </x:c>
      <x:c r="E52" s="54" t="n">
        <x:v>58</x:v>
      </x:c>
      <x:c r="F52" s="54" t="n">
        <x:v>622</x:v>
      </x:c>
      <x:c r="G52" s="53" t="n">
        <x:v>56.5</x:v>
      </x:c>
      <x:c r="H52" s="55" t="str">
        <x:f>IF(G52&lt;=25,"Boa",IF(G52&lt;=50,"Moderada",IF(G52&lt;=75,"Ruim","Muito Ruim")))</x:f>
        <x:v>Ruim</x:v>
      </x:c>
    </x:row>
    <x:row r="53" ht="20" customHeight="1">
      <x:c r="A53" s="44" t="n">
        <x:v>46239</x:v>
      </x:c>
      <x:c r="B53" s="45" t="str">
        <x:v>Centro</x:v>
      </x:c>
      <x:c r="C53" s="46" t="n">
        <x:v>4899</x:v>
      </x:c>
      <x:c r="D53" s="47" t="n">
        <x:v>26.6</x:v>
      </x:c>
      <x:c r="E53" s="48" t="n">
        <x:v>54</x:v>
      </x:c>
      <x:c r="F53" s="48" t="n">
        <x:v>601</x:v>
      </x:c>
      <x:c r="G53" s="47" t="n">
        <x:v>35.9</x:v>
      </x:c>
      <x:c r="H53" s="49" t="str">
        <x:f>IF(G53&lt;=25,"Boa",IF(G53&lt;=50,"Moderada",IF(G53&lt;=75,"Ruim","Muito Ruim")))</x:f>
        <x:v>Moderada</x:v>
      </x:c>
    </x:row>
    <x:row r="54" ht="20" customHeight="1">
      <x:c r="A54" s="50" t="n">
        <x:v>46239</x:v>
      </x:c>
      <x:c r="B54" s="51" t="str">
        <x:v>Marginal Tietê</x:v>
      </x:c>
      <x:c r="C54" s="52" t="n">
        <x:v>8827</x:v>
      </x:c>
      <x:c r="D54" s="53" t="n">
        <x:v>21.9</x:v>
      </x:c>
      <x:c r="E54" s="54" t="n">
        <x:v>61</x:v>
      </x:c>
      <x:c r="F54" s="54" t="n">
        <x:v>762</x:v>
      </x:c>
      <x:c r="G54" s="53" t="n">
        <x:v>52</x:v>
      </x:c>
      <x:c r="H54" s="55" t="str">
        <x:f>IF(G54&lt;=25,"Boa",IF(G54&lt;=50,"Moderada",IF(G54&lt;=75,"Ruim","Muito Ruim")))</x:f>
        <x:v>Ruim</x:v>
      </x:c>
    </x:row>
    <x:row r="55" ht="20" customHeight="1">
      <x:c r="A55" s="44" t="n">
        <x:v>46239</x:v>
      </x:c>
      <x:c r="B55" s="45" t="str">
        <x:v>Paulista</x:v>
      </x:c>
      <x:c r="C55" s="46" t="n">
        <x:v>6435</x:v>
      </x:c>
      <x:c r="D55" s="47" t="n">
        <x:v>29.3</x:v>
      </x:c>
      <x:c r="E55" s="48" t="n">
        <x:v>51</x:v>
      </x:c>
      <x:c r="F55" s="48" t="n">
        <x:v>653</x:v>
      </x:c>
      <x:c r="G55" s="47" t="n">
        <x:v>34.6</x:v>
      </x:c>
      <x:c r="H55" s="49" t="str">
        <x:f>IF(G55&lt;=25,"Boa",IF(G55&lt;=50,"Moderada",IF(G55&lt;=75,"Ruim","Muito Ruim")))</x:f>
        <x:v>Moderada</x:v>
      </x:c>
    </x:row>
    <x:row r="56" ht="20" customHeight="1">
      <x:c r="A56" s="50" t="n">
        <x:v>46239</x:v>
      </x:c>
      <x:c r="B56" s="51" t="str">
        <x:v>Pinheiros</x:v>
      </x:c>
      <x:c r="C56" s="52" t="n">
        <x:v>5633</x:v>
      </x:c>
      <x:c r="D56" s="53" t="n">
        <x:v>27.5</x:v>
      </x:c>
      <x:c r="E56" s="54" t="n">
        <x:v>77</x:v>
      </x:c>
      <x:c r="F56" s="54" t="n">
        <x:v>633</x:v>
      </x:c>
      <x:c r="G56" s="53" t="n">
        <x:v>23.9</x:v>
      </x:c>
      <x:c r="H56" s="55" t="str">
        <x:f>IF(G56&lt;=25,"Boa",IF(G56&lt;=50,"Moderada",IF(G56&lt;=75,"Ruim","Muito Ruim")))</x:f>
        <x:v>Boa</x:v>
      </x:c>
    </x:row>
    <x:row r="57" ht="20" customHeight="1">
      <x:c r="A57" s="44" t="n">
        <x:v>46239</x:v>
      </x:c>
      <x:c r="B57" s="45" t="str">
        <x:v>Zona Sul (Ibirapuera)</x:v>
      </x:c>
      <x:c r="C57" s="46" t="n">
        <x:v>3582</x:v>
      </x:c>
      <x:c r="D57" s="47" t="n">
        <x:v>26.8</x:v>
      </x:c>
      <x:c r="E57" s="48" t="n">
        <x:v>73</x:v>
      </x:c>
      <x:c r="F57" s="48" t="n">
        <x:v>533</x:v>
      </x:c>
      <x:c r="G57" s="47" t="n">
        <x:v>31.6</x:v>
      </x:c>
      <x:c r="H57" s="49" t="str">
        <x:f>IF(G57&lt;=25,"Boa",IF(G57&lt;=50,"Moderada",IF(G57&lt;=75,"Ruim","Muito Ruim")))</x:f>
        <x:v>Moderada</x:v>
      </x:c>
    </x:row>
    <x:row r="58" ht="20" customHeight="1">
      <x:c r="A58" s="50" t="n">
        <x:v>46239</x:v>
      </x:c>
      <x:c r="B58" s="51" t="str">
        <x:v>Vila Mariana</x:v>
      </x:c>
      <x:c r="C58" s="52" t="n">
        <x:v>5603</x:v>
      </x:c>
      <x:c r="D58" s="53" t="n">
        <x:v>23.4</x:v>
      </x:c>
      <x:c r="E58" s="54" t="n">
        <x:v>63</x:v>
      </x:c>
      <x:c r="F58" s="54" t="n">
        <x:v>569</x:v>
      </x:c>
      <x:c r="G58" s="53" t="n">
        <x:v>27.2</x:v>
      </x:c>
      <x:c r="H58" s="55" t="str">
        <x:f>IF(G58&lt;=25,"Boa",IF(G58&lt;=50,"Moderada",IF(G58&lt;=75,"Ruim","Muito Ruim")))</x:f>
        <x:v>Moderada</x:v>
      </x:c>
    </x:row>
    <x:row r="59" ht="20" customHeight="1">
      <x:c r="A59" s="44" t="n">
        <x:v>46239</x:v>
      </x:c>
      <x:c r="B59" s="45" t="str">
        <x:v>Santana</x:v>
      </x:c>
      <x:c r="C59" s="46" t="n">
        <x:v>5346</x:v>
      </x:c>
      <x:c r="D59" s="47" t="n">
        <x:v>26.3</x:v>
      </x:c>
      <x:c r="E59" s="48" t="n">
        <x:v>57</x:v>
      </x:c>
      <x:c r="F59" s="48" t="n">
        <x:v>654</x:v>
      </x:c>
      <x:c r="G59" s="47" t="n">
        <x:v>46</x:v>
      </x:c>
      <x:c r="H59" s="49" t="str">
        <x:f>IF(G59&lt;=25,"Boa",IF(G59&lt;=50,"Moderada",IF(G59&lt;=75,"Ruim","Muito Ruim")))</x:f>
        <x:v>Moderada</x:v>
      </x:c>
    </x:row>
    <x:row r="60" ht="20" customHeight="1">
      <x:c r="A60" s="50" t="n">
        <x:v>46239</x:v>
      </x:c>
      <x:c r="B60" s="51" t="str">
        <x:v>Lapa</x:v>
      </x:c>
      <x:c r="C60" s="52" t="n">
        <x:v>4871</x:v>
      </x:c>
      <x:c r="D60" s="53" t="n">
        <x:v>29.5</x:v>
      </x:c>
      <x:c r="E60" s="54" t="n">
        <x:v>62</x:v>
      </x:c>
      <x:c r="F60" s="54" t="n">
        <x:v>589</x:v>
      </x:c>
      <x:c r="G60" s="53" t="n">
        <x:v>23</x:v>
      </x:c>
      <x:c r="H60" s="55" t="str">
        <x:f>IF(G60&lt;=25,"Boa",IF(G60&lt;=50,"Moderada",IF(G60&lt;=75,"Ruim","Muito Ruim")))</x:f>
        <x:v>Boa</x:v>
      </x:c>
    </x:row>
    <x:row r="61" ht="20" customHeight="1">
      <x:c r="A61" s="44" t="n">
        <x:v>46239</x:v>
      </x:c>
      <x:c r="B61" s="45" t="str">
        <x:v>Moema</x:v>
      </x:c>
      <x:c r="C61" s="46" t="n">
        <x:v>4379</x:v>
      </x:c>
      <x:c r="D61" s="47" t="n">
        <x:v>25</x:v>
      </x:c>
      <x:c r="E61" s="48" t="n">
        <x:v>56</x:v>
      </x:c>
      <x:c r="F61" s="48" t="n">
        <x:v>544</x:v>
      </x:c>
      <x:c r="G61" s="47" t="n">
        <x:v>34.4</x:v>
      </x:c>
      <x:c r="H61" s="49" t="str">
        <x:f>IF(G61&lt;=25,"Boa",IF(G61&lt;=50,"Moderada",IF(G61&lt;=75,"Ruim","Muito Ruim")))</x:f>
        <x:v>Moderada</x:v>
      </x:c>
    </x:row>
    <x:row r="62" ht="20" customHeight="1">
      <x:c r="A62" s="50" t="n">
        <x:v>46239</x:v>
      </x:c>
      <x:c r="B62" s="51" t="str">
        <x:v>Santo Amaro</x:v>
      </x:c>
      <x:c r="C62" s="52" t="n">
        <x:v>6766</x:v>
      </x:c>
      <x:c r="D62" s="53" t="n">
        <x:v>22.9</x:v>
      </x:c>
      <x:c r="E62" s="54" t="n">
        <x:v>62</x:v>
      </x:c>
      <x:c r="F62" s="54" t="n">
        <x:v>631</x:v>
      </x:c>
      <x:c r="G62" s="53" t="n">
        <x:v>51.5</x:v>
      </x:c>
      <x:c r="H62" s="55" t="str">
        <x:f>IF(G62&lt;=25,"Boa",IF(G62&lt;=50,"Moderada",IF(G62&lt;=75,"Ruim","Muito Ruim")))</x:f>
        <x:v>Ruim</x:v>
      </x:c>
    </x:row>
    <x:row r="63" ht="20" customHeight="1">
      <x:c r="A63" s="44" t="n">
        <x:v>46239</x:v>
      </x:c>
      <x:c r="B63" s="45" t="str">
        <x:v>Itaquera</x:v>
      </x:c>
      <x:c r="C63" s="46" t="n">
        <x:v>7278</x:v>
      </x:c>
      <x:c r="D63" s="47" t="n">
        <x:v>25.1</x:v>
      </x:c>
      <x:c r="E63" s="48" t="n">
        <x:v>71</x:v>
      </x:c>
      <x:c r="F63" s="48" t="n">
        <x:v>677</x:v>
      </x:c>
      <x:c r="G63" s="47" t="n">
        <x:v>35.3</x:v>
      </x:c>
      <x:c r="H63" s="49" t="str">
        <x:f>IF(G63&lt;=25,"Boa",IF(G63&lt;=50,"Moderada",IF(G63&lt;=75,"Ruim","Muito Ruim")))</x:f>
        <x:v>Moderada</x:v>
      </x:c>
    </x:row>
    <x:row r="64" ht="20" customHeight="1">
      <x:c r="A64" s="50" t="n">
        <x:v>46239</x:v>
      </x:c>
      <x:c r="B64" s="51" t="str">
        <x:v>São Mateus</x:v>
      </x:c>
      <x:c r="C64" s="52" t="n">
        <x:v>6549</x:v>
      </x:c>
      <x:c r="D64" s="53" t="n">
        <x:v>21.6</x:v>
      </x:c>
      <x:c r="E64" s="54" t="n">
        <x:v>66</x:v>
      </x:c>
      <x:c r="F64" s="54" t="n">
        <x:v>658</x:v>
      </x:c>
      <x:c r="G64" s="53" t="n">
        <x:v>52.6</x:v>
      </x:c>
      <x:c r="H64" s="55" t="str">
        <x:f>IF(G64&lt;=25,"Boa",IF(G64&lt;=50,"Moderada",IF(G64&lt;=75,"Ruim","Muito Ruim")))</x:f>
        <x:v>Ruim</x:v>
      </x:c>
    </x:row>
    <x:row r="65" ht="20" customHeight="1">
      <x:c r="A65" s="44" t="n">
        <x:v>46240</x:v>
      </x:c>
      <x:c r="B65" s="45" t="str">
        <x:v>Centro</x:v>
      </x:c>
      <x:c r="C65" s="46" t="n">
        <x:v>6946</x:v>
      </x:c>
      <x:c r="D65" s="47" t="n">
        <x:v>23.7</x:v>
      </x:c>
      <x:c r="E65" s="48" t="n">
        <x:v>72</x:v>
      </x:c>
      <x:c r="F65" s="48" t="n">
        <x:v>631</x:v>
      </x:c>
      <x:c r="G65" s="47" t="n">
        <x:v>53.1</x:v>
      </x:c>
      <x:c r="H65" s="49" t="str">
        <x:f>IF(G65&lt;=25,"Boa",IF(G65&lt;=50,"Moderada",IF(G65&lt;=75,"Ruim","Muito Ruim")))</x:f>
        <x:v>Ruim</x:v>
      </x:c>
    </x:row>
    <x:row r="66" ht="20" customHeight="1">
      <x:c r="A66" s="50" t="n">
        <x:v>46240</x:v>
      </x:c>
      <x:c r="B66" s="51" t="str">
        <x:v>Marginal Tietê</x:v>
      </x:c>
      <x:c r="C66" s="52" t="n">
        <x:v>8412</x:v>
      </x:c>
      <x:c r="D66" s="53" t="n">
        <x:v>25.1</x:v>
      </x:c>
      <x:c r="E66" s="54" t="n">
        <x:v>67</x:v>
      </x:c>
      <x:c r="F66" s="54" t="n">
        <x:v>706</x:v>
      </x:c>
      <x:c r="G66" s="53" t="n">
        <x:v>59.2</x:v>
      </x:c>
      <x:c r="H66" s="55" t="str">
        <x:f>IF(G66&lt;=25,"Boa",IF(G66&lt;=50,"Moderada",IF(G66&lt;=75,"Ruim","Muito Ruim")))</x:f>
        <x:v>Ruim</x:v>
      </x:c>
    </x:row>
    <x:row r="67" ht="20" customHeight="1">
      <x:c r="A67" s="44" t="n">
        <x:v>46240</x:v>
      </x:c>
      <x:c r="B67" s="45" t="str">
        <x:v>Paulista</x:v>
      </x:c>
      <x:c r="C67" s="46" t="n">
        <x:v>5313</x:v>
      </x:c>
      <x:c r="D67" s="47" t="n">
        <x:v>30.1</x:v>
      </x:c>
      <x:c r="E67" s="48" t="n">
        <x:v>69</x:v>
      </x:c>
      <x:c r="F67" s="48" t="n">
        <x:v>631</x:v>
      </x:c>
      <x:c r="G67" s="47" t="n">
        <x:v>28.9</x:v>
      </x:c>
      <x:c r="H67" s="49" t="str">
        <x:f>IF(G67&lt;=25,"Boa",IF(G67&lt;=50,"Moderada",IF(G67&lt;=75,"Ruim","Muito Ruim")))</x:f>
        <x:v>Moderada</x:v>
      </x:c>
    </x:row>
    <x:row r="68" ht="20" customHeight="1">
      <x:c r="A68" s="50" t="n">
        <x:v>46240</x:v>
      </x:c>
      <x:c r="B68" s="51" t="str">
        <x:v>Pinheiros</x:v>
      </x:c>
      <x:c r="C68" s="52" t="n">
        <x:v>4755</x:v>
      </x:c>
      <x:c r="D68" s="53" t="n">
        <x:v>26.9</x:v>
      </x:c>
      <x:c r="E68" s="54" t="n">
        <x:v>69</x:v>
      </x:c>
      <x:c r="F68" s="54" t="n">
        <x:v>546</x:v>
      </x:c>
      <x:c r="G68" s="53" t="n">
        <x:v>40.3</x:v>
      </x:c>
      <x:c r="H68" s="55" t="str">
        <x:f>IF(G68&lt;=25,"Boa",IF(G68&lt;=50,"Moderada",IF(G68&lt;=75,"Ruim","Muito Ruim")))</x:f>
        <x:v>Moderada</x:v>
      </x:c>
    </x:row>
    <x:row r="69" ht="20" customHeight="1">
      <x:c r="A69" s="44" t="n">
        <x:v>46240</x:v>
      </x:c>
      <x:c r="B69" s="45" t="str">
        <x:v>Zona Sul (Ibirapuera)</x:v>
      </x:c>
      <x:c r="C69" s="46" t="n">
        <x:v>5678</x:v>
      </x:c>
      <x:c r="D69" s="47" t="n">
        <x:v>29.2</x:v>
      </x:c>
      <x:c r="E69" s="48" t="n">
        <x:v>64</x:v>
      </x:c>
      <x:c r="F69" s="48" t="n">
        <x:v>633</x:v>
      </x:c>
      <x:c r="G69" s="47" t="n">
        <x:v>32.1</x:v>
      </x:c>
      <x:c r="H69" s="49" t="str">
        <x:f>IF(G69&lt;=25,"Boa",IF(G69&lt;=50,"Moderada",IF(G69&lt;=75,"Ruim","Muito Ruim")))</x:f>
        <x:v>Moderada</x:v>
      </x:c>
    </x:row>
    <x:row r="70" ht="20" customHeight="1">
      <x:c r="A70" s="50" t="n">
        <x:v>46240</x:v>
      </x:c>
      <x:c r="B70" s="51" t="str">
        <x:v>Vila Mariana</x:v>
      </x:c>
      <x:c r="C70" s="52" t="n">
        <x:v>5681</x:v>
      </x:c>
      <x:c r="D70" s="53" t="n">
        <x:v>26.5</x:v>
      </x:c>
      <x:c r="E70" s="54" t="n">
        <x:v>72</x:v>
      </x:c>
      <x:c r="F70" s="54" t="n">
        <x:v>644</x:v>
      </x:c>
      <x:c r="G70" s="53" t="n">
        <x:v>46.8</x:v>
      </x:c>
      <x:c r="H70" s="55" t="str">
        <x:f>IF(G70&lt;=25,"Boa",IF(G70&lt;=50,"Moderada",IF(G70&lt;=75,"Ruim","Muito Ruim")))</x:f>
        <x:v>Moderada</x:v>
      </x:c>
    </x:row>
    <x:row r="71" ht="20" customHeight="1">
      <x:c r="A71" s="44" t="n">
        <x:v>46240</x:v>
      </x:c>
      <x:c r="B71" s="45" t="str">
        <x:v>Santana</x:v>
      </x:c>
      <x:c r="C71" s="46" t="n">
        <x:v>4755</x:v>
      </x:c>
      <x:c r="D71" s="47" t="n">
        <x:v>23.1</x:v>
      </x:c>
      <x:c r="E71" s="48" t="n">
        <x:v>64</x:v>
      </x:c>
      <x:c r="F71" s="48" t="n">
        <x:v>562</x:v>
      </x:c>
      <x:c r="G71" s="47" t="n">
        <x:v>38.5</x:v>
      </x:c>
      <x:c r="H71" s="49" t="str">
        <x:f>IF(G71&lt;=25,"Boa",IF(G71&lt;=50,"Moderada",IF(G71&lt;=75,"Ruim","Muito Ruim")))</x:f>
        <x:v>Moderada</x:v>
      </x:c>
    </x:row>
    <x:row r="72" ht="20" customHeight="1">
      <x:c r="A72" s="50" t="n">
        <x:v>46240</x:v>
      </x:c>
      <x:c r="B72" s="51" t="str">
        <x:v>Lapa</x:v>
      </x:c>
      <x:c r="C72" s="52" t="n">
        <x:v>6405</x:v>
      </x:c>
      <x:c r="D72" s="53" t="n">
        <x:v>22.7</x:v>
      </x:c>
      <x:c r="E72" s="54" t="n">
        <x:v>71</x:v>
      </x:c>
      <x:c r="F72" s="54" t="n">
        <x:v>635</x:v>
      </x:c>
      <x:c r="G72" s="53" t="n">
        <x:v>26.6</x:v>
      </x:c>
      <x:c r="H72" s="55" t="str">
        <x:f>IF(G72&lt;=25,"Boa",IF(G72&lt;=50,"Moderada",IF(G72&lt;=75,"Ruim","Muito Ruim")))</x:f>
        <x:v>Moderada</x:v>
      </x:c>
    </x:row>
    <x:row r="73" ht="20" customHeight="1">
      <x:c r="A73" s="44" t="n">
        <x:v>46240</x:v>
      </x:c>
      <x:c r="B73" s="45" t="str">
        <x:v>Moema</x:v>
      </x:c>
      <x:c r="C73" s="46" t="n">
        <x:v>3689</x:v>
      </x:c>
      <x:c r="D73" s="47" t="n">
        <x:v>26.6</x:v>
      </x:c>
      <x:c r="E73" s="48" t="n">
        <x:v>65</x:v>
      </x:c>
      <x:c r="F73" s="48" t="n">
        <x:v>552</x:v>
      </x:c>
      <x:c r="G73" s="47" t="n">
        <x:v>18.1</x:v>
      </x:c>
      <x:c r="H73" s="49" t="str">
        <x:f>IF(G73&lt;=25,"Boa",IF(G73&lt;=50,"Moderada",IF(G73&lt;=75,"Ruim","Muito Ruim")))</x:f>
        <x:v>Boa</x:v>
      </x:c>
    </x:row>
    <x:row r="74" ht="20" customHeight="1">
      <x:c r="A74" s="50" t="n">
        <x:v>46240</x:v>
      </x:c>
      <x:c r="B74" s="51" t="str">
        <x:v>Santo Amaro</x:v>
      </x:c>
      <x:c r="C74" s="52" t="n">
        <x:v>7301</x:v>
      </x:c>
      <x:c r="D74" s="53" t="n">
        <x:v>26.7</x:v>
      </x:c>
      <x:c r="E74" s="54" t="n">
        <x:v>72</x:v>
      </x:c>
      <x:c r="F74" s="54" t="n">
        <x:v>684</x:v>
      </x:c>
      <x:c r="G74" s="53" t="n">
        <x:v>49.3</x:v>
      </x:c>
      <x:c r="H74" s="55" t="str">
        <x:f>IF(G74&lt;=25,"Boa",IF(G74&lt;=50,"Moderada",IF(G74&lt;=75,"Ruim","Muito Ruim")))</x:f>
        <x:v>Moderada</x:v>
      </x:c>
    </x:row>
    <x:row r="75" ht="20" customHeight="1">
      <x:c r="A75" s="44" t="n">
        <x:v>46240</x:v>
      </x:c>
      <x:c r="B75" s="45" t="str">
        <x:v>Itaquera</x:v>
      </x:c>
      <x:c r="C75" s="46" t="n">
        <x:v>5918</x:v>
      </x:c>
      <x:c r="D75" s="47" t="n">
        <x:v>27.2</x:v>
      </x:c>
      <x:c r="E75" s="48" t="n">
        <x:v>59</x:v>
      </x:c>
      <x:c r="F75" s="48" t="n">
        <x:v>640</x:v>
      </x:c>
      <x:c r="G75" s="47" t="n">
        <x:v>46.2</x:v>
      </x:c>
      <x:c r="H75" s="49" t="str">
        <x:f>IF(G75&lt;=25,"Boa",IF(G75&lt;=50,"Moderada",IF(G75&lt;=75,"Ruim","Muito Ruim")))</x:f>
        <x:v>Moderada</x:v>
      </x:c>
    </x:row>
    <x:row r="76" ht="20" customHeight="1">
      <x:c r="A76" s="50" t="n">
        <x:v>46240</x:v>
      </x:c>
      <x:c r="B76" s="51" t="str">
        <x:v>São Mateus</x:v>
      </x:c>
      <x:c r="C76" s="52" t="n">
        <x:v>6008</x:v>
      </x:c>
      <x:c r="D76" s="53" t="n">
        <x:v>23.8</x:v>
      </x:c>
      <x:c r="E76" s="54" t="n">
        <x:v>69</x:v>
      </x:c>
      <x:c r="F76" s="54" t="n">
        <x:v>690</x:v>
      </x:c>
      <x:c r="G76" s="53" t="n">
        <x:v>30.9</x:v>
      </x:c>
      <x:c r="H76" s="55" t="str">
        <x:f>IF(G76&lt;=25,"Boa",IF(G76&lt;=50,"Moderada",IF(G76&lt;=75,"Ruim","Muito Ruim")))</x:f>
        <x:v>Moderada</x:v>
      </x:c>
    </x:row>
    <x:row r="77" ht="20" customHeight="1">
      <x:c r="A77" s="44" t="n">
        <x:v>46241</x:v>
      </x:c>
      <x:c r="B77" s="45" t="str">
        <x:v>Centro</x:v>
      </x:c>
      <x:c r="C77" s="46" t="n">
        <x:v>4707</x:v>
      </x:c>
      <x:c r="D77" s="47" t="n">
        <x:v>26.7</x:v>
      </x:c>
      <x:c r="E77" s="48" t="n">
        <x:v>69</x:v>
      </x:c>
      <x:c r="F77" s="48" t="n">
        <x:v>569</x:v>
      </x:c>
      <x:c r="G77" s="47" t="n">
        <x:v>40.2</x:v>
      </x:c>
      <x:c r="H77" s="49" t="str">
        <x:f>IF(G77&lt;=25,"Boa",IF(G77&lt;=50,"Moderada",IF(G77&lt;=75,"Ruim","Muito Ruim")))</x:f>
        <x:v>Moderada</x:v>
      </x:c>
    </x:row>
    <x:row r="78" ht="20" customHeight="1">
      <x:c r="A78" s="50" t="n">
        <x:v>46241</x:v>
      </x:c>
      <x:c r="B78" s="51" t="str">
        <x:v>Marginal Tietê</x:v>
      </x:c>
      <x:c r="C78" s="52" t="n">
        <x:v>7896</x:v>
      </x:c>
      <x:c r="D78" s="53" t="n">
        <x:v>28.7</x:v>
      </x:c>
      <x:c r="E78" s="54" t="n">
        <x:v>65</x:v>
      </x:c>
      <x:c r="F78" s="54" t="n">
        <x:v>723</x:v>
      </x:c>
      <x:c r="G78" s="53" t="n">
        <x:v>64.2</x:v>
      </x:c>
      <x:c r="H78" s="55" t="str">
        <x:f>IF(G78&lt;=25,"Boa",IF(G78&lt;=50,"Moderada",IF(G78&lt;=75,"Ruim","Muito Ruim")))</x:f>
        <x:v>Ruim</x:v>
      </x:c>
    </x:row>
    <x:row r="79" ht="20" customHeight="1">
      <x:c r="A79" s="44" t="n">
        <x:v>46241</x:v>
      </x:c>
      <x:c r="B79" s="45" t="str">
        <x:v>Paulista</x:v>
      </x:c>
      <x:c r="C79" s="46" t="n">
        <x:v>6894</x:v>
      </x:c>
      <x:c r="D79" s="47" t="n">
        <x:v>29.7</x:v>
      </x:c>
      <x:c r="E79" s="48" t="n">
        <x:v>76</x:v>
      </x:c>
      <x:c r="F79" s="48" t="n">
        <x:v>724</x:v>
      </x:c>
      <x:c r="G79" s="47" t="n">
        <x:v>54</x:v>
      </x:c>
      <x:c r="H79" s="49" t="str">
        <x:f>IF(G79&lt;=25,"Boa",IF(G79&lt;=50,"Moderada",IF(G79&lt;=75,"Ruim","Muito Ruim")))</x:f>
        <x:v>Ruim</x:v>
      </x:c>
    </x:row>
    <x:row r="80" ht="20" customHeight="1">
      <x:c r="A80" s="50" t="n">
        <x:v>46241</x:v>
      </x:c>
      <x:c r="B80" s="51" t="str">
        <x:v>Pinheiros</x:v>
      </x:c>
      <x:c r="C80" s="52" t="n">
        <x:v>4773</x:v>
      </x:c>
      <x:c r="D80" s="53" t="n">
        <x:v>28.5</x:v>
      </x:c>
      <x:c r="E80" s="54" t="n">
        <x:v>51</x:v>
      </x:c>
      <x:c r="F80" s="54" t="n">
        <x:v>548</x:v>
      </x:c>
      <x:c r="G80" s="53" t="n">
        <x:v>39.5</x:v>
      </x:c>
      <x:c r="H80" s="55" t="str">
        <x:f>IF(G80&lt;=25,"Boa",IF(G80&lt;=50,"Moderada",IF(G80&lt;=75,"Ruim","Muito Ruim")))</x:f>
        <x:v>Moderada</x:v>
      </x:c>
    </x:row>
    <x:row r="81" ht="20" customHeight="1">
      <x:c r="A81" s="44" t="n">
        <x:v>46241</x:v>
      </x:c>
      <x:c r="B81" s="45" t="str">
        <x:v>Zona Sul (Ibirapuera)</x:v>
      </x:c>
      <x:c r="C81" s="46" t="n">
        <x:v>5494</x:v>
      </x:c>
      <x:c r="D81" s="47" t="n">
        <x:v>26.3</x:v>
      </x:c>
      <x:c r="E81" s="48" t="n">
        <x:v>52</x:v>
      </x:c>
      <x:c r="F81" s="48" t="n">
        <x:v>616</x:v>
      </x:c>
      <x:c r="G81" s="47" t="n">
        <x:v>41.5</x:v>
      </x:c>
      <x:c r="H81" s="49" t="str">
        <x:f>IF(G81&lt;=25,"Boa",IF(G81&lt;=50,"Moderada",IF(G81&lt;=75,"Ruim","Muito Ruim")))</x:f>
        <x:v>Moderada</x:v>
      </x:c>
    </x:row>
    <x:row r="82" ht="20" customHeight="1">
      <x:c r="A82" s="50" t="n">
        <x:v>46241</x:v>
      </x:c>
      <x:c r="B82" s="51" t="str">
        <x:v>Vila Mariana</x:v>
      </x:c>
      <x:c r="C82" s="52" t="n">
        <x:v>4691</x:v>
      </x:c>
      <x:c r="D82" s="53" t="n">
        <x:v>29.7</x:v>
      </x:c>
      <x:c r="E82" s="54" t="n">
        <x:v>50</x:v>
      </x:c>
      <x:c r="F82" s="54" t="n">
        <x:v>550</x:v>
      </x:c>
      <x:c r="G82" s="53" t="n">
        <x:v>27.3</x:v>
      </x:c>
      <x:c r="H82" s="55" t="str">
        <x:f>IF(G82&lt;=25,"Boa",IF(G82&lt;=50,"Moderada",IF(G82&lt;=75,"Ruim","Muito Ruim")))</x:f>
        <x:v>Moderada</x:v>
      </x:c>
    </x:row>
    <x:row r="83" ht="20" customHeight="1">
      <x:c r="A83" s="44" t="n">
        <x:v>46241</x:v>
      </x:c>
      <x:c r="B83" s="45" t="str">
        <x:v>Santana</x:v>
      </x:c>
      <x:c r="C83" s="46" t="n">
        <x:v>5957</x:v>
      </x:c>
      <x:c r="D83" s="47" t="n">
        <x:v>26.9</x:v>
      </x:c>
      <x:c r="E83" s="48" t="n">
        <x:v>63</x:v>
      </x:c>
      <x:c r="F83" s="48" t="n">
        <x:v>600</x:v>
      </x:c>
      <x:c r="G83" s="47" t="n">
        <x:v>40.5</x:v>
      </x:c>
      <x:c r="H83" s="49" t="str">
        <x:f>IF(G83&lt;=25,"Boa",IF(G83&lt;=50,"Moderada",IF(G83&lt;=75,"Ruim","Muito Ruim")))</x:f>
        <x:v>Moderada</x:v>
      </x:c>
    </x:row>
    <x:row r="84" ht="20" customHeight="1">
      <x:c r="A84" s="50" t="n">
        <x:v>46241</x:v>
      </x:c>
      <x:c r="B84" s="51" t="str">
        <x:v>Lapa</x:v>
      </x:c>
      <x:c r="C84" s="52" t="n">
        <x:v>4114</x:v>
      </x:c>
      <x:c r="D84" s="53" t="n">
        <x:v>24.1</x:v>
      </x:c>
      <x:c r="E84" s="54" t="n">
        <x:v>66</x:v>
      </x:c>
      <x:c r="F84" s="54" t="n">
        <x:v>581</x:v>
      </x:c>
      <x:c r="G84" s="53" t="n">
        <x:v>42.2</x:v>
      </x:c>
      <x:c r="H84" s="55" t="str">
        <x:f>IF(G84&lt;=25,"Boa",IF(G84&lt;=50,"Moderada",IF(G84&lt;=75,"Ruim","Muito Ruim")))</x:f>
        <x:v>Moderada</x:v>
      </x:c>
    </x:row>
    <x:row r="85" ht="20" customHeight="1">
      <x:c r="A85" s="44" t="n">
        <x:v>46241</x:v>
      </x:c>
      <x:c r="B85" s="45" t="str">
        <x:v>Moema</x:v>
      </x:c>
      <x:c r="C85" s="46" t="n">
        <x:v>5391</x:v>
      </x:c>
      <x:c r="D85" s="47" t="n">
        <x:v>29.6</x:v>
      </x:c>
      <x:c r="E85" s="48" t="n">
        <x:v>60</x:v>
      </x:c>
      <x:c r="F85" s="48" t="n">
        <x:v>594</x:v>
      </x:c>
      <x:c r="G85" s="47" t="n">
        <x:v>35.8</x:v>
      </x:c>
      <x:c r="H85" s="49" t="str">
        <x:f>IF(G85&lt;=25,"Boa",IF(G85&lt;=50,"Moderada",IF(G85&lt;=75,"Ruim","Muito Ruim")))</x:f>
        <x:v>Moderada</x:v>
      </x:c>
    </x:row>
    <x:row r="86" ht="20" customHeight="1">
      <x:c r="A86" s="50" t="n">
        <x:v>46241</x:v>
      </x:c>
      <x:c r="B86" s="51" t="str">
        <x:v>Santo Amaro</x:v>
      </x:c>
      <x:c r="C86" s="52" t="n">
        <x:v>6994</x:v>
      </x:c>
      <x:c r="D86" s="53" t="n">
        <x:v>22.4</x:v>
      </x:c>
      <x:c r="E86" s="54" t="n">
        <x:v>67</x:v>
      </x:c>
      <x:c r="F86" s="54" t="n">
        <x:v>647</x:v>
      </x:c>
      <x:c r="G86" s="53" t="n">
        <x:v>47.5</x:v>
      </x:c>
      <x:c r="H86" s="55" t="str">
        <x:f>IF(G86&lt;=25,"Boa",IF(G86&lt;=50,"Moderada",IF(G86&lt;=75,"Ruim","Muito Ruim")))</x:f>
        <x:v>Moderada</x:v>
      </x:c>
    </x:row>
    <x:row r="87" ht="20" customHeight="1">
      <x:c r="A87" s="44" t="n">
        <x:v>46241</x:v>
      </x:c>
      <x:c r="B87" s="45" t="str">
        <x:v>Itaquera</x:v>
      </x:c>
      <x:c r="C87" s="46" t="n">
        <x:v>6328</x:v>
      </x:c>
      <x:c r="D87" s="47" t="n">
        <x:v>25.1</x:v>
      </x:c>
      <x:c r="E87" s="48" t="n">
        <x:v>74</x:v>
      </x:c>
      <x:c r="F87" s="48" t="n">
        <x:v>618</x:v>
      </x:c>
      <x:c r="G87" s="47" t="n">
        <x:v>52.1</x:v>
      </x:c>
      <x:c r="H87" s="49" t="str">
        <x:f>IF(G87&lt;=25,"Boa",IF(G87&lt;=50,"Moderada",IF(G87&lt;=75,"Ruim","Muito Ruim")))</x:f>
        <x:v>Ruim</x:v>
      </x:c>
    </x:row>
    <x:row r="88" ht="20" customHeight="1">
      <x:c r="A88" s="50" t="n">
        <x:v>46241</x:v>
      </x:c>
      <x:c r="B88" s="51" t="str">
        <x:v>São Mateus</x:v>
      </x:c>
      <x:c r="C88" s="52" t="n">
        <x:v>5517</x:v>
      </x:c>
      <x:c r="D88" s="53" t="n">
        <x:v>31</x:v>
      </x:c>
      <x:c r="E88" s="54" t="n">
        <x:v>73</x:v>
      </x:c>
      <x:c r="F88" s="54" t="n">
        <x:v>580</x:v>
      </x:c>
      <x:c r="G88" s="53" t="n">
        <x:v>33.1</x:v>
      </x:c>
      <x:c r="H88" s="55" t="str">
        <x:f>IF(G88&lt;=25,"Boa",IF(G88&lt;=50,"Moderada",IF(G88&lt;=75,"Ruim","Muito Ruim")))</x:f>
        <x:v>Moderada</x:v>
      </x:c>
    </x:row>
    <x:row r="89" ht="20" customHeight="1">
      <x:c r="A89" s="44" t="n">
        <x:v>46242</x:v>
      </x:c>
      <x:c r="B89" s="45" t="str">
        <x:v>Centro</x:v>
      </x:c>
      <x:c r="C89" s="46" t="n">
        <x:v>7042</x:v>
      </x:c>
      <x:c r="D89" s="47" t="n">
        <x:v>23.8</x:v>
      </x:c>
      <x:c r="E89" s="48" t="n">
        <x:v>59</x:v>
      </x:c>
      <x:c r="F89" s="48" t="n">
        <x:v>679</x:v>
      </x:c>
      <x:c r="G89" s="47" t="n">
        <x:v>46.8</x:v>
      </x:c>
      <x:c r="H89" s="49" t="str">
        <x:f>IF(G89&lt;=25,"Boa",IF(G89&lt;=50,"Moderada",IF(G89&lt;=75,"Ruim","Muito Ruim")))</x:f>
        <x:v>Moderada</x:v>
      </x:c>
    </x:row>
    <x:row r="90" ht="20" customHeight="1">
      <x:c r="A90" s="50" t="n">
        <x:v>46242</x:v>
      </x:c>
      <x:c r="B90" s="51" t="str">
        <x:v>Marginal Tietê</x:v>
      </x:c>
      <x:c r="C90" s="52" t="n">
        <x:v>8390</x:v>
      </x:c>
      <x:c r="D90" s="53" t="n">
        <x:v>30.8</x:v>
      </x:c>
      <x:c r="E90" s="54" t="n">
        <x:v>56</x:v>
      </x:c>
      <x:c r="F90" s="54" t="n">
        <x:v>791</x:v>
      </x:c>
      <x:c r="G90" s="53" t="n">
        <x:v>57.8</x:v>
      </x:c>
      <x:c r="H90" s="55" t="str">
        <x:f>IF(G90&lt;=25,"Boa",IF(G90&lt;=50,"Moderada",IF(G90&lt;=75,"Ruim","Muito Ruim")))</x:f>
        <x:v>Ruim</x:v>
      </x:c>
    </x:row>
    <x:row r="91" ht="20" customHeight="1">
      <x:c r="A91" s="44" t="n">
        <x:v>46242</x:v>
      </x:c>
      <x:c r="B91" s="45" t="str">
        <x:v>Paulista</x:v>
      </x:c>
      <x:c r="C91" s="46" t="n">
        <x:v>5463</x:v>
      </x:c>
      <x:c r="D91" s="47" t="n">
        <x:v>23.2</x:v>
      </x:c>
      <x:c r="E91" s="48" t="n">
        <x:v>65</x:v>
      </x:c>
      <x:c r="F91" s="48" t="n">
        <x:v>607</x:v>
      </x:c>
      <x:c r="G91" s="47" t="n">
        <x:v>46.9</x:v>
      </x:c>
      <x:c r="H91" s="49" t="str">
        <x:f>IF(G91&lt;=25,"Boa",IF(G91&lt;=50,"Moderada",IF(G91&lt;=75,"Ruim","Muito Ruim")))</x:f>
        <x:v>Moderada</x:v>
      </x:c>
    </x:row>
    <x:row r="92" ht="20" customHeight="1">
      <x:c r="A92" s="50" t="n">
        <x:v>46242</x:v>
      </x:c>
      <x:c r="B92" s="51" t="str">
        <x:v>Pinheiros</x:v>
      </x:c>
      <x:c r="C92" s="52" t="n">
        <x:v>5390</x:v>
      </x:c>
      <x:c r="D92" s="53" t="n">
        <x:v>23.5</x:v>
      </x:c>
      <x:c r="E92" s="54" t="n">
        <x:v>71</x:v>
      </x:c>
      <x:c r="F92" s="54" t="n">
        <x:v>588</x:v>
      </x:c>
      <x:c r="G92" s="53" t="n">
        <x:v>32.9</x:v>
      </x:c>
      <x:c r="H92" s="55" t="str">
        <x:f>IF(G92&lt;=25,"Boa",IF(G92&lt;=50,"Moderada",IF(G92&lt;=75,"Ruim","Muito Ruim")))</x:f>
        <x:v>Moderada</x:v>
      </x:c>
    </x:row>
    <x:row r="93" ht="20" customHeight="1">
      <x:c r="A93" s="44" t="n">
        <x:v>46242</x:v>
      </x:c>
      <x:c r="B93" s="45" t="str">
        <x:v>Zona Sul (Ibirapuera)</x:v>
      </x:c>
      <x:c r="C93" s="46" t="n">
        <x:v>4951</x:v>
      </x:c>
      <x:c r="D93" s="47" t="n">
        <x:v>25.5</x:v>
      </x:c>
      <x:c r="E93" s="48" t="n">
        <x:v>69</x:v>
      </x:c>
      <x:c r="F93" s="48" t="n">
        <x:v>560</x:v>
      </x:c>
      <x:c r="G93" s="47" t="n">
        <x:v>39.7</x:v>
      </x:c>
      <x:c r="H93" s="49" t="str">
        <x:f>IF(G93&lt;=25,"Boa",IF(G93&lt;=50,"Moderada",IF(G93&lt;=75,"Ruim","Muito Ruim")))</x:f>
        <x:v>Moderada</x:v>
      </x:c>
    </x:row>
    <x:row r="94" ht="20" customHeight="1">
      <x:c r="A94" s="50" t="n">
        <x:v>46242</x:v>
      </x:c>
      <x:c r="B94" s="51" t="str">
        <x:v>Vila Mariana</x:v>
      </x:c>
      <x:c r="C94" s="52" t="n">
        <x:v>5000</x:v>
      </x:c>
      <x:c r="D94" s="53" t="n">
        <x:v>25.5</x:v>
      </x:c>
      <x:c r="E94" s="54" t="n">
        <x:v>70</x:v>
      </x:c>
      <x:c r="F94" s="54" t="n">
        <x:v>648</x:v>
      </x:c>
      <x:c r="G94" s="53" t="n">
        <x:v>24.1</x:v>
      </x:c>
      <x:c r="H94" s="55" t="str">
        <x:f>IF(G94&lt;=25,"Boa",IF(G94&lt;=50,"Moderada",IF(G94&lt;=75,"Ruim","Muito Ruim")))</x:f>
        <x:v>Boa</x:v>
      </x:c>
    </x:row>
    <x:row r="95" ht="20" customHeight="1">
      <x:c r="A95" s="44" t="n">
        <x:v>46242</x:v>
      </x:c>
      <x:c r="B95" s="45" t="str">
        <x:v>Santana</x:v>
      </x:c>
      <x:c r="C95" s="46" t="n">
        <x:v>6363</x:v>
      </x:c>
      <x:c r="D95" s="47" t="n">
        <x:v>22.9</x:v>
      </x:c>
      <x:c r="E95" s="48" t="n">
        <x:v>71</x:v>
      </x:c>
      <x:c r="F95" s="48" t="n">
        <x:v>658</x:v>
      </x:c>
      <x:c r="G95" s="47" t="n">
        <x:v>34.2</x:v>
      </x:c>
      <x:c r="H95" s="49" t="str">
        <x:f>IF(G95&lt;=25,"Boa",IF(G95&lt;=50,"Moderada",IF(G95&lt;=75,"Ruim","Muito Ruim")))</x:f>
        <x:v>Moderada</x:v>
      </x:c>
    </x:row>
    <x:row r="96" ht="20" customHeight="1">
      <x:c r="A96" s="50" t="n">
        <x:v>46242</x:v>
      </x:c>
      <x:c r="B96" s="51" t="str">
        <x:v>Lapa</x:v>
      </x:c>
      <x:c r="C96" s="52" t="n">
        <x:v>5194</x:v>
      </x:c>
      <x:c r="D96" s="53" t="n">
        <x:v>29.8</x:v>
      </x:c>
      <x:c r="E96" s="54" t="n">
        <x:v>50</x:v>
      </x:c>
      <x:c r="F96" s="54" t="n">
        <x:v>632</x:v>
      </x:c>
      <x:c r="G96" s="53" t="n">
        <x:v>32.8</x:v>
      </x:c>
      <x:c r="H96" s="55" t="str">
        <x:f>IF(G96&lt;=25,"Boa",IF(G96&lt;=50,"Moderada",IF(G96&lt;=75,"Ruim","Muito Ruim")))</x:f>
        <x:v>Moderada</x:v>
      </x:c>
    </x:row>
    <x:row r="97" ht="20" customHeight="1">
      <x:c r="A97" s="44" t="n">
        <x:v>46242</x:v>
      </x:c>
      <x:c r="B97" s="45" t="str">
        <x:v>Moema</x:v>
      </x:c>
      <x:c r="C97" s="46" t="n">
        <x:v>5564</x:v>
      </x:c>
      <x:c r="D97" s="47" t="n">
        <x:v>24.2</x:v>
      </x:c>
      <x:c r="E97" s="48" t="n">
        <x:v>57</x:v>
      </x:c>
      <x:c r="F97" s="48" t="n">
        <x:v>650</x:v>
      </x:c>
      <x:c r="G97" s="47" t="n">
        <x:v>42.3</x:v>
      </x:c>
      <x:c r="H97" s="49" t="str">
        <x:f>IF(G97&lt;=25,"Boa",IF(G97&lt;=50,"Moderada",IF(G97&lt;=75,"Ruim","Muito Ruim")))</x:f>
        <x:v>Moderada</x:v>
      </x:c>
    </x:row>
    <x:row r="98" ht="20" customHeight="1">
      <x:c r="A98" s="50" t="n">
        <x:v>46242</x:v>
      </x:c>
      <x:c r="B98" s="51" t="str">
        <x:v>Santo Amaro</x:v>
      </x:c>
      <x:c r="C98" s="52" t="n">
        <x:v>7270</x:v>
      </x:c>
      <x:c r="D98" s="53" t="n">
        <x:v>23.1</x:v>
      </x:c>
      <x:c r="E98" s="54" t="n">
        <x:v>61</x:v>
      </x:c>
      <x:c r="F98" s="54" t="n">
        <x:v>646</x:v>
      </x:c>
      <x:c r="G98" s="53" t="n">
        <x:v>46.4</x:v>
      </x:c>
      <x:c r="H98" s="55" t="str">
        <x:f>IF(G98&lt;=25,"Boa",IF(G98&lt;=50,"Moderada",IF(G98&lt;=75,"Ruim","Muito Ruim")))</x:f>
        <x:v>Moderada</x:v>
      </x:c>
    </x:row>
    <x:row r="99" ht="20" customHeight="1">
      <x:c r="A99" s="44" t="n">
        <x:v>46242</x:v>
      </x:c>
      <x:c r="B99" s="45" t="str">
        <x:v>Itaquera</x:v>
      </x:c>
      <x:c r="C99" s="46" t="n">
        <x:v>7191</x:v>
      </x:c>
      <x:c r="D99" s="47" t="n">
        <x:v>22.1</x:v>
      </x:c>
      <x:c r="E99" s="48" t="n">
        <x:v>68</x:v>
      </x:c>
      <x:c r="F99" s="48" t="n">
        <x:v>637</x:v>
      </x:c>
      <x:c r="G99" s="47" t="n">
        <x:v>40.7</x:v>
      </x:c>
      <x:c r="H99" s="49" t="str">
        <x:f>IF(G99&lt;=25,"Boa",IF(G99&lt;=50,"Moderada",IF(G99&lt;=75,"Ruim","Muito Ruim")))</x:f>
        <x:v>Moderada</x:v>
      </x:c>
    </x:row>
    <x:row r="100" ht="20" customHeight="1">
      <x:c r="A100" s="50" t="n">
        <x:v>46242</x:v>
      </x:c>
      <x:c r="B100" s="51" t="str">
        <x:v>São Mateus</x:v>
      </x:c>
      <x:c r="C100" s="52" t="n">
        <x:v>5451</x:v>
      </x:c>
      <x:c r="D100" s="53" t="n">
        <x:v>28</x:v>
      </x:c>
      <x:c r="E100" s="54" t="n">
        <x:v>71</x:v>
      </x:c>
      <x:c r="F100" s="54" t="n">
        <x:v>590</x:v>
      </x:c>
      <x:c r="G100" s="53" t="n">
        <x:v>50.8</x:v>
      </x:c>
      <x:c r="H100" s="55" t="str">
        <x:f>IF(G100&lt;=25,"Boa",IF(G100&lt;=50,"Moderada",IF(G100&lt;=75,"Ruim","Muito Ruim")))</x:f>
        <x:v>Ruim</x:v>
      </x:c>
    </x:row>
    <x:row r="101" ht="20" customHeight="1">
      <x:c r="A101" s="44" t="n">
        <x:v>46243</x:v>
      </x:c>
      <x:c r="B101" s="45" t="str">
        <x:v>Centro</x:v>
      </x:c>
      <x:c r="C101" s="46" t="n">
        <x:v>6623</x:v>
      </x:c>
      <x:c r="D101" s="47" t="n">
        <x:v>24.1</x:v>
      </x:c>
      <x:c r="E101" s="48" t="n">
        <x:v>69</x:v>
      </x:c>
      <x:c r="F101" s="48" t="n">
        <x:v>597</x:v>
      </x:c>
      <x:c r="G101" s="47" t="n">
        <x:v>33</x:v>
      </x:c>
      <x:c r="H101" s="49" t="str">
        <x:f>IF(G101&lt;=25,"Boa",IF(G101&lt;=50,"Moderada",IF(G101&lt;=75,"Ruim","Muito Ruim")))</x:f>
        <x:v>Moderada</x:v>
      </x:c>
    </x:row>
    <x:row r="102" ht="20" customHeight="1">
      <x:c r="A102" s="50" t="n">
        <x:v>46243</x:v>
      </x:c>
      <x:c r="B102" s="51" t="str">
        <x:v>Marginal Tietê</x:v>
      </x:c>
      <x:c r="C102" s="52" t="n">
        <x:v>7173</x:v>
      </x:c>
      <x:c r="D102" s="53" t="n">
        <x:v>27.7</x:v>
      </x:c>
      <x:c r="E102" s="54" t="n">
        <x:v>62</x:v>
      </x:c>
      <x:c r="F102" s="54" t="n">
        <x:v>734</x:v>
      </x:c>
      <x:c r="G102" s="53" t="n">
        <x:v>51.2</x:v>
      </x:c>
      <x:c r="H102" s="55" t="str">
        <x:f>IF(G102&lt;=25,"Boa",IF(G102&lt;=50,"Moderada",IF(G102&lt;=75,"Ruim","Muito Ruim")))</x:f>
        <x:v>Ruim</x:v>
      </x:c>
    </x:row>
    <x:row r="103" ht="20" customHeight="1">
      <x:c r="A103" s="44" t="n">
        <x:v>46243</x:v>
      </x:c>
      <x:c r="B103" s="45" t="str">
        <x:v>Paulista</x:v>
      </x:c>
      <x:c r="C103" s="46" t="n">
        <x:v>5438</x:v>
      </x:c>
      <x:c r="D103" s="47" t="n">
        <x:v>28.2</x:v>
      </x:c>
      <x:c r="E103" s="48" t="n">
        <x:v>52</x:v>
      </x:c>
      <x:c r="F103" s="48" t="n">
        <x:v>601</x:v>
      </x:c>
      <x:c r="G103" s="47" t="n">
        <x:v>39.8</x:v>
      </x:c>
      <x:c r="H103" s="49" t="str">
        <x:f>IF(G103&lt;=25,"Boa",IF(G103&lt;=50,"Moderada",IF(G103&lt;=75,"Ruim","Muito Ruim")))</x:f>
        <x:v>Moderada</x:v>
      </x:c>
    </x:row>
    <x:row r="104" ht="20" customHeight="1">
      <x:c r="A104" s="50" t="n">
        <x:v>46243</x:v>
      </x:c>
      <x:c r="B104" s="51" t="str">
        <x:v>Pinheiros</x:v>
      </x:c>
      <x:c r="C104" s="52" t="n">
        <x:v>4758</x:v>
      </x:c>
      <x:c r="D104" s="53" t="n">
        <x:v>27.6</x:v>
      </x:c>
      <x:c r="E104" s="54" t="n">
        <x:v>52</x:v>
      </x:c>
      <x:c r="F104" s="54" t="n">
        <x:v>637</x:v>
      </x:c>
      <x:c r="G104" s="53" t="n">
        <x:v>34.6</x:v>
      </x:c>
      <x:c r="H104" s="55" t="str">
        <x:f>IF(G104&lt;=25,"Boa",IF(G104&lt;=50,"Moderada",IF(G104&lt;=75,"Ruim","Muito Ruim")))</x:f>
        <x:v>Moderada</x:v>
      </x:c>
    </x:row>
    <x:row r="105" ht="20" customHeight="1">
      <x:c r="A105" s="44" t="n">
        <x:v>46243</x:v>
      </x:c>
      <x:c r="B105" s="45" t="str">
        <x:v>Zona Sul (Ibirapuera)</x:v>
      </x:c>
      <x:c r="C105" s="46" t="n">
        <x:v>6008</x:v>
      </x:c>
      <x:c r="D105" s="47" t="n">
        <x:v>28.6</x:v>
      </x:c>
      <x:c r="E105" s="48" t="n">
        <x:v>64</x:v>
      </x:c>
      <x:c r="F105" s="48" t="n">
        <x:v>646</x:v>
      </x:c>
      <x:c r="G105" s="47" t="n">
        <x:v>33.3</x:v>
      </x:c>
      <x:c r="H105" s="49" t="str">
        <x:f>IF(G105&lt;=25,"Boa",IF(G105&lt;=50,"Moderada",IF(G105&lt;=75,"Ruim","Muito Ruim")))</x:f>
        <x:v>Moderada</x:v>
      </x:c>
    </x:row>
    <x:row r="106" ht="20" customHeight="1">
      <x:c r="A106" s="50" t="n">
        <x:v>46243</x:v>
      </x:c>
      <x:c r="B106" s="51" t="str">
        <x:v>Vila Mariana</x:v>
      </x:c>
      <x:c r="C106" s="52" t="n">
        <x:v>6575</x:v>
      </x:c>
      <x:c r="D106" s="53" t="n">
        <x:v>23.1</x:v>
      </x:c>
      <x:c r="E106" s="54" t="n">
        <x:v>71</x:v>
      </x:c>
      <x:c r="F106" s="54" t="n">
        <x:v>669</x:v>
      </x:c>
      <x:c r="G106" s="53" t="n">
        <x:v>49.2</x:v>
      </x:c>
      <x:c r="H106" s="55" t="str">
        <x:f>IF(G106&lt;=25,"Boa",IF(G106&lt;=50,"Moderada",IF(G106&lt;=75,"Ruim","Muito Ruim")))</x:f>
        <x:v>Moderada</x:v>
      </x:c>
    </x:row>
    <x:row r="107" ht="20" customHeight="1">
      <x:c r="A107" s="44" t="n">
        <x:v>46243</x:v>
      </x:c>
      <x:c r="B107" s="45" t="str">
        <x:v>Santana</x:v>
      </x:c>
      <x:c r="C107" s="46" t="n">
        <x:v>6940</x:v>
      </x:c>
      <x:c r="D107" s="47" t="n">
        <x:v>25.2</x:v>
      </x:c>
      <x:c r="E107" s="48" t="n">
        <x:v>58</x:v>
      </x:c>
      <x:c r="F107" s="48" t="n">
        <x:v>602</x:v>
      </x:c>
      <x:c r="G107" s="47" t="n">
        <x:v>50.1</x:v>
      </x:c>
      <x:c r="H107" s="49" t="str">
        <x:f>IF(G107&lt;=25,"Boa",IF(G107&lt;=50,"Moderada",IF(G107&lt;=75,"Ruim","Muito Ruim")))</x:f>
        <x:v>Ruim</x:v>
      </x:c>
    </x:row>
    <x:row r="108" ht="20" customHeight="1">
      <x:c r="A108" s="50" t="n">
        <x:v>46243</x:v>
      </x:c>
      <x:c r="B108" s="51" t="str">
        <x:v>Lapa</x:v>
      </x:c>
      <x:c r="C108" s="52" t="n">
        <x:v>5409</x:v>
      </x:c>
      <x:c r="D108" s="53" t="n">
        <x:v>25.2</x:v>
      </x:c>
      <x:c r="E108" s="54" t="n">
        <x:v>70</x:v>
      </x:c>
      <x:c r="F108" s="54" t="n">
        <x:v>641</x:v>
      </x:c>
      <x:c r="G108" s="53" t="n">
        <x:v>39.7</x:v>
      </x:c>
      <x:c r="H108" s="55" t="str">
        <x:f>IF(G108&lt;=25,"Boa",IF(G108&lt;=50,"Moderada",IF(G108&lt;=75,"Ruim","Muito Ruim")))</x:f>
        <x:v>Moderada</x:v>
      </x:c>
    </x:row>
    <x:row r="109" ht="20" customHeight="1">
      <x:c r="A109" s="44" t="n">
        <x:v>46243</x:v>
      </x:c>
      <x:c r="B109" s="45" t="str">
        <x:v>Moema</x:v>
      </x:c>
      <x:c r="C109" s="46" t="n">
        <x:v>5658</x:v>
      </x:c>
      <x:c r="D109" s="47" t="n">
        <x:v>28.7</x:v>
      </x:c>
      <x:c r="E109" s="48" t="n">
        <x:v>65</x:v>
      </x:c>
      <x:c r="F109" s="48" t="n">
        <x:v>651</x:v>
      </x:c>
      <x:c r="G109" s="47" t="n">
        <x:v>37.7</x:v>
      </x:c>
      <x:c r="H109" s="49" t="str">
        <x:f>IF(G109&lt;=25,"Boa",IF(G109&lt;=50,"Moderada",IF(G109&lt;=75,"Ruim","Muito Ruim")))</x:f>
        <x:v>Moderada</x:v>
      </x:c>
    </x:row>
    <x:row r="110" ht="20" customHeight="1">
      <x:c r="A110" s="50" t="n">
        <x:v>46243</x:v>
      </x:c>
      <x:c r="B110" s="51" t="str">
        <x:v>Santo Amaro</x:v>
      </x:c>
      <x:c r="C110" s="52" t="n">
        <x:v>6776</x:v>
      </x:c>
      <x:c r="D110" s="53" t="n">
        <x:v>24.7</x:v>
      </x:c>
      <x:c r="E110" s="54" t="n">
        <x:v>64</x:v>
      </x:c>
      <x:c r="F110" s="54" t="n">
        <x:v>653</x:v>
      </x:c>
      <x:c r="G110" s="53" t="n">
        <x:v>49.3</x:v>
      </x:c>
      <x:c r="H110" s="55" t="str">
        <x:f>IF(G110&lt;=25,"Boa",IF(G110&lt;=50,"Moderada",IF(G110&lt;=75,"Ruim","Muito Ruim")))</x:f>
        <x:v>Moderada</x:v>
      </x:c>
    </x:row>
    <x:row r="111" ht="20" customHeight="1">
      <x:c r="A111" s="44" t="n">
        <x:v>46243</x:v>
      </x:c>
      <x:c r="B111" s="45" t="str">
        <x:v>Itaquera</x:v>
      </x:c>
      <x:c r="C111" s="46" t="n">
        <x:v>6262</x:v>
      </x:c>
      <x:c r="D111" s="47" t="n">
        <x:v>22.7</x:v>
      </x:c>
      <x:c r="E111" s="48" t="n">
        <x:v>71</x:v>
      </x:c>
      <x:c r="F111" s="48" t="n">
        <x:v>655</x:v>
      </x:c>
      <x:c r="G111" s="47" t="n">
        <x:v>32.3</x:v>
      </x:c>
      <x:c r="H111" s="49" t="str">
        <x:f>IF(G111&lt;=25,"Boa",IF(G111&lt;=50,"Moderada",IF(G111&lt;=75,"Ruim","Muito Ruim")))</x:f>
        <x:v>Moderada</x:v>
      </x:c>
    </x:row>
    <x:row r="112" ht="20" customHeight="1">
      <x:c r="A112" s="50" t="n">
        <x:v>46243</x:v>
      </x:c>
      <x:c r="B112" s="51" t="str">
        <x:v>São Mateus</x:v>
      </x:c>
      <x:c r="C112" s="52" t="n">
        <x:v>4519</x:v>
      </x:c>
      <x:c r="D112" s="53" t="n">
        <x:v>30.7</x:v>
      </x:c>
      <x:c r="E112" s="54" t="n">
        <x:v>74</x:v>
      </x:c>
      <x:c r="F112" s="54" t="n">
        <x:v>558</x:v>
      </x:c>
      <x:c r="G112" s="53" t="n">
        <x:v>38.3</x:v>
      </x:c>
      <x:c r="H112" s="55" t="str">
        <x:f>IF(G112&lt;=25,"Boa",IF(G112&lt;=50,"Moderada",IF(G112&lt;=75,"Ruim","Muito Ruim")))</x:f>
        <x:v>Moderada</x:v>
      </x:c>
    </x:row>
    <x:row r="113" ht="20" customHeight="1">
      <x:c r="A113" s="44" t="n">
        <x:v>46244</x:v>
      </x:c>
      <x:c r="B113" s="45" t="str">
        <x:v>Centro</x:v>
      </x:c>
      <x:c r="C113" s="46" t="n">
        <x:v>4881</x:v>
      </x:c>
      <x:c r="D113" s="47" t="n">
        <x:v>26.6</x:v>
      </x:c>
      <x:c r="E113" s="48" t="n">
        <x:v>65</x:v>
      </x:c>
      <x:c r="F113" s="48" t="n">
        <x:v>552</x:v>
      </x:c>
      <x:c r="G113" s="47" t="n">
        <x:v>35.6</x:v>
      </x:c>
      <x:c r="H113" s="49" t="str">
        <x:f>IF(G113&lt;=25,"Boa",IF(G113&lt;=50,"Moderada",IF(G113&lt;=75,"Ruim","Muito Ruim")))</x:f>
        <x:v>Moderada</x:v>
      </x:c>
    </x:row>
    <x:row r="114" ht="20" customHeight="1">
      <x:c r="A114" s="50" t="n">
        <x:v>46244</x:v>
      </x:c>
      <x:c r="B114" s="51" t="str">
        <x:v>Marginal Tietê</x:v>
      </x:c>
      <x:c r="C114" s="52" t="n">
        <x:v>9437</x:v>
      </x:c>
      <x:c r="D114" s="53" t="n">
        <x:v>27.7</x:v>
      </x:c>
      <x:c r="E114" s="54" t="n">
        <x:v>67</x:v>
      </x:c>
      <x:c r="F114" s="54" t="n">
        <x:v>798</x:v>
      </x:c>
      <x:c r="G114" s="53" t="n">
        <x:v>61.3</x:v>
      </x:c>
      <x:c r="H114" s="55" t="str">
        <x:f>IF(G114&lt;=25,"Boa",IF(G114&lt;=50,"Moderada",IF(G114&lt;=75,"Ruim","Muito Ruim")))</x:f>
        <x:v>Ruim</x:v>
      </x:c>
    </x:row>
    <x:row r="115" ht="20" customHeight="1">
      <x:c r="A115" s="44" t="n">
        <x:v>46244</x:v>
      </x:c>
      <x:c r="B115" s="45" t="str">
        <x:v>Paulista</x:v>
      </x:c>
      <x:c r="C115" s="46" t="n">
        <x:v>5381</x:v>
      </x:c>
      <x:c r="D115" s="47" t="n">
        <x:v>28.2</x:v>
      </x:c>
      <x:c r="E115" s="48" t="n">
        <x:v>68</x:v>
      </x:c>
      <x:c r="F115" s="48" t="n">
        <x:v>644</x:v>
      </x:c>
      <x:c r="G115" s="47" t="n">
        <x:v>42.8</x:v>
      </x:c>
      <x:c r="H115" s="49" t="str">
        <x:f>IF(G115&lt;=25,"Boa",IF(G115&lt;=50,"Moderada",IF(G115&lt;=75,"Ruim","Muito Ruim")))</x:f>
        <x:v>Moderada</x:v>
      </x:c>
    </x:row>
    <x:row r="116" ht="20" customHeight="1">
      <x:c r="A116" s="50" t="n">
        <x:v>46244</x:v>
      </x:c>
      <x:c r="B116" s="51" t="str">
        <x:v>Pinheiros</x:v>
      </x:c>
      <x:c r="C116" s="52" t="n">
        <x:v>3803</x:v>
      </x:c>
      <x:c r="D116" s="53" t="n">
        <x:v>26.1</x:v>
      </x:c>
      <x:c r="E116" s="54" t="n">
        <x:v>64</x:v>
      </x:c>
      <x:c r="F116" s="54" t="n">
        <x:v>562</x:v>
      </x:c>
      <x:c r="G116" s="53" t="n">
        <x:v>19.5</x:v>
      </x:c>
      <x:c r="H116" s="55" t="str">
        <x:f>IF(G116&lt;=25,"Boa",IF(G116&lt;=50,"Moderada",IF(G116&lt;=75,"Ruim","Muito Ruim")))</x:f>
        <x:v>Boa</x:v>
      </x:c>
    </x:row>
    <x:row r="117" ht="20" customHeight="1">
      <x:c r="A117" s="44" t="n">
        <x:v>46244</x:v>
      </x:c>
      <x:c r="B117" s="45" t="str">
        <x:v>Zona Sul (Ibirapuera)</x:v>
      </x:c>
      <x:c r="C117" s="46" t="n">
        <x:v>4646</x:v>
      </x:c>
      <x:c r="D117" s="47" t="n">
        <x:v>27</x:v>
      </x:c>
      <x:c r="E117" s="48" t="n">
        <x:v>65</x:v>
      </x:c>
      <x:c r="F117" s="48" t="n">
        <x:v>569</x:v>
      </x:c>
      <x:c r="G117" s="47" t="n">
        <x:v>33.7</x:v>
      </x:c>
      <x:c r="H117" s="49" t="str">
        <x:f>IF(G117&lt;=25,"Boa",IF(G117&lt;=50,"Moderada",IF(G117&lt;=75,"Ruim","Muito Ruim")))</x:f>
        <x:v>Moderada</x:v>
      </x:c>
    </x:row>
    <x:row r="118" ht="20" customHeight="1">
      <x:c r="A118" s="50" t="n">
        <x:v>46244</x:v>
      </x:c>
      <x:c r="B118" s="51" t="str">
        <x:v>Vila Mariana</x:v>
      </x:c>
      <x:c r="C118" s="52" t="n">
        <x:v>5337</x:v>
      </x:c>
      <x:c r="D118" s="53" t="n">
        <x:v>30.1</x:v>
      </x:c>
      <x:c r="E118" s="54" t="n">
        <x:v>48</x:v>
      </x:c>
      <x:c r="F118" s="54" t="n">
        <x:v>573</x:v>
      </x:c>
      <x:c r="G118" s="53" t="n">
        <x:v>32.5</x:v>
      </x:c>
      <x:c r="H118" s="55" t="str">
        <x:f>IF(G118&lt;=25,"Boa",IF(G118&lt;=50,"Moderada",IF(G118&lt;=75,"Ruim","Muito Ruim")))</x:f>
        <x:v>Moderada</x:v>
      </x:c>
    </x:row>
    <x:row r="119" ht="20" customHeight="1">
      <x:c r="A119" s="44" t="n">
        <x:v>46244</x:v>
      </x:c>
      <x:c r="B119" s="45" t="str">
        <x:v>Santana</x:v>
      </x:c>
      <x:c r="C119" s="46" t="n">
        <x:v>6856</x:v>
      </x:c>
      <x:c r="D119" s="47" t="n">
        <x:v>29.8</x:v>
      </x:c>
      <x:c r="E119" s="48" t="n">
        <x:v>52</x:v>
      </x:c>
      <x:c r="F119" s="48" t="n">
        <x:v>651</x:v>
      </x:c>
      <x:c r="G119" s="47" t="n">
        <x:v>49.9</x:v>
      </x:c>
      <x:c r="H119" s="49" t="str">
        <x:f>IF(G119&lt;=25,"Boa",IF(G119&lt;=50,"Moderada",IF(G119&lt;=75,"Ruim","Muito Ruim")))</x:f>
        <x:v>Moderada</x:v>
      </x:c>
    </x:row>
    <x:row r="120" ht="20" customHeight="1">
      <x:c r="A120" s="50" t="n">
        <x:v>46244</x:v>
      </x:c>
      <x:c r="B120" s="51" t="str">
        <x:v>Lapa</x:v>
      </x:c>
      <x:c r="C120" s="52" t="n">
        <x:v>4761</x:v>
      </x:c>
      <x:c r="D120" s="53" t="n">
        <x:v>22.8</x:v>
      </x:c>
      <x:c r="E120" s="54" t="n">
        <x:v>62</x:v>
      </x:c>
      <x:c r="F120" s="54" t="n">
        <x:v>610</x:v>
      </x:c>
      <x:c r="G120" s="53" t="n">
        <x:v>30.6</x:v>
      </x:c>
      <x:c r="H120" s="55" t="str">
        <x:f>IF(G120&lt;=25,"Boa",IF(G120&lt;=50,"Moderada",IF(G120&lt;=75,"Ruim","Muito Ruim")))</x:f>
        <x:v>Moderada</x:v>
      </x:c>
    </x:row>
    <x:row r="121" ht="20" customHeight="1">
      <x:c r="A121" s="44" t="n">
        <x:v>46244</x:v>
      </x:c>
      <x:c r="B121" s="45" t="str">
        <x:v>Moema</x:v>
      </x:c>
      <x:c r="C121" s="46" t="n">
        <x:v>4133</x:v>
      </x:c>
      <x:c r="D121" s="47" t="n">
        <x:v>29.5</x:v>
      </x:c>
      <x:c r="E121" s="48" t="n">
        <x:v>51</x:v>
      </x:c>
      <x:c r="F121" s="48" t="n">
        <x:v>556</x:v>
      </x:c>
      <x:c r="G121" s="47" t="n">
        <x:v>18.1</x:v>
      </x:c>
      <x:c r="H121" s="49" t="str">
        <x:f>IF(G121&lt;=25,"Boa",IF(G121&lt;=50,"Moderada",IF(G121&lt;=75,"Ruim","Muito Ruim")))</x:f>
        <x:v>Boa</x:v>
      </x:c>
    </x:row>
    <x:row r="122" ht="20" customHeight="1">
      <x:c r="A122" s="50" t="n">
        <x:v>46244</x:v>
      </x:c>
      <x:c r="B122" s="51" t="str">
        <x:v>Santo Amaro</x:v>
      </x:c>
      <x:c r="C122" s="52" t="n">
        <x:v>5715</x:v>
      </x:c>
      <x:c r="D122" s="53" t="n">
        <x:v>28.8</x:v>
      </x:c>
      <x:c r="E122" s="54" t="n">
        <x:v>63</x:v>
      </x:c>
      <x:c r="F122" s="54" t="n">
        <x:v>616</x:v>
      </x:c>
      <x:c r="G122" s="53" t="n">
        <x:v>40.1</x:v>
      </x:c>
      <x:c r="H122" s="55" t="str">
        <x:f>IF(G122&lt;=25,"Boa",IF(G122&lt;=50,"Moderada",IF(G122&lt;=75,"Ruim","Muito Ruim")))</x:f>
        <x:v>Moderada</x:v>
      </x:c>
    </x:row>
    <x:row r="123" ht="20" customHeight="1">
      <x:c r="A123" s="44" t="n">
        <x:v>46244</x:v>
      </x:c>
      <x:c r="B123" s="45" t="str">
        <x:v>Itaquera</x:v>
      </x:c>
      <x:c r="C123" s="46" t="n">
        <x:v>6307</x:v>
      </x:c>
      <x:c r="D123" s="47" t="n">
        <x:v>24.8</x:v>
      </x:c>
      <x:c r="E123" s="48" t="n">
        <x:v>71</x:v>
      </x:c>
      <x:c r="F123" s="48" t="n">
        <x:v>663</x:v>
      </x:c>
      <x:c r="G123" s="47" t="n">
        <x:v>36.6</x:v>
      </x:c>
      <x:c r="H123" s="49" t="str">
        <x:f>IF(G123&lt;=25,"Boa",IF(G123&lt;=50,"Moderada",IF(G123&lt;=75,"Ruim","Muito Ruim")))</x:f>
        <x:v>Moderada</x:v>
      </x:c>
    </x:row>
    <x:row r="124" ht="20" customHeight="1">
      <x:c r="A124" s="50" t="n">
        <x:v>46244</x:v>
      </x:c>
      <x:c r="B124" s="51" t="str">
        <x:v>São Mateus</x:v>
      </x:c>
      <x:c r="C124" s="52" t="n">
        <x:v>6989</x:v>
      </x:c>
      <x:c r="D124" s="53" t="n">
        <x:v>24.4</x:v>
      </x:c>
      <x:c r="E124" s="54" t="n">
        <x:v>66</x:v>
      </x:c>
      <x:c r="F124" s="54" t="n">
        <x:v>637</x:v>
      </x:c>
      <x:c r="G124" s="53" t="n">
        <x:v>55.8</x:v>
      </x:c>
      <x:c r="H124" s="55" t="str">
        <x:f>IF(G124&lt;=25,"Boa",IF(G124&lt;=50,"Moderada",IF(G124&lt;=75,"Ruim","Muito Ruim")))</x:f>
        <x:v>Ruim</x:v>
      </x:c>
    </x:row>
    <x:row r="125" ht="20" customHeight="1">
      <x:c r="A125" s="44" t="n">
        <x:v>46245</x:v>
      </x:c>
      <x:c r="B125" s="45" t="str">
        <x:v>Centro</x:v>
      </x:c>
      <x:c r="C125" s="46" t="n">
        <x:v>5773</x:v>
      </x:c>
      <x:c r="D125" s="47" t="n">
        <x:v>30.7</x:v>
      </x:c>
      <x:c r="E125" s="48" t="n">
        <x:v>50</x:v>
      </x:c>
      <x:c r="F125" s="48" t="n">
        <x:v>580</x:v>
      </x:c>
      <x:c r="G125" s="47" t="n">
        <x:v>42.4</x:v>
      </x:c>
      <x:c r="H125" s="49" t="str">
        <x:f>IF(G125&lt;=25,"Boa",IF(G125&lt;=50,"Moderada",IF(G125&lt;=75,"Ruim","Muito Ruim")))</x:f>
        <x:v>Moderada</x:v>
      </x:c>
    </x:row>
    <x:row r="126" ht="20" customHeight="1">
      <x:c r="A126" s="50" t="n">
        <x:v>46245</x:v>
      </x:c>
      <x:c r="B126" s="51" t="str">
        <x:v>Marginal Tietê</x:v>
      </x:c>
      <x:c r="C126" s="52" t="n">
        <x:v>7983</x:v>
      </x:c>
      <x:c r="D126" s="53" t="n">
        <x:v>28.3</x:v>
      </x:c>
      <x:c r="E126" s="54" t="n">
        <x:v>62</x:v>
      </x:c>
      <x:c r="F126" s="54" t="n">
        <x:v>729</x:v>
      </x:c>
      <x:c r="G126" s="53" t="n">
        <x:v>59.9</x:v>
      </x:c>
      <x:c r="H126" s="55" t="str">
        <x:f>IF(G126&lt;=25,"Boa",IF(G126&lt;=50,"Moderada",IF(G126&lt;=75,"Ruim","Muito Ruim")))</x:f>
        <x:v>Ruim</x:v>
      </x:c>
    </x:row>
    <x:row r="127" ht="20" customHeight="1">
      <x:c r="A127" s="44" t="n">
        <x:v>46245</x:v>
      </x:c>
      <x:c r="B127" s="45" t="str">
        <x:v>Paulista</x:v>
      </x:c>
      <x:c r="C127" s="46" t="n">
        <x:v>5658</x:v>
      </x:c>
      <x:c r="D127" s="47" t="n">
        <x:v>23.7</x:v>
      </x:c>
      <x:c r="E127" s="48" t="n">
        <x:v>63</x:v>
      </x:c>
      <x:c r="F127" s="48" t="n">
        <x:v>603</x:v>
      </x:c>
      <x:c r="G127" s="47" t="n">
        <x:v>31</x:v>
      </x:c>
      <x:c r="H127" s="49" t="str">
        <x:f>IF(G127&lt;=25,"Boa",IF(G127&lt;=50,"Moderada",IF(G127&lt;=75,"Ruim","Muito Ruim")))</x:f>
        <x:v>Moderada</x:v>
      </x:c>
    </x:row>
    <x:row r="128" ht="20" customHeight="1">
      <x:c r="A128" s="50" t="n">
        <x:v>46245</x:v>
      </x:c>
      <x:c r="B128" s="51" t="str">
        <x:v>Pinheiros</x:v>
      </x:c>
      <x:c r="C128" s="52" t="n">
        <x:v>5363</x:v>
      </x:c>
      <x:c r="D128" s="53" t="n">
        <x:v>28.3</x:v>
      </x:c>
      <x:c r="E128" s="54" t="n">
        <x:v>55</x:v>
      </x:c>
      <x:c r="F128" s="54" t="n">
        <x:v>651</x:v>
      </x:c>
      <x:c r="G128" s="53" t="n">
        <x:v>38</x:v>
      </x:c>
      <x:c r="H128" s="55" t="str">
        <x:f>IF(G128&lt;=25,"Boa",IF(G128&lt;=50,"Moderada",IF(G128&lt;=75,"Ruim","Muito Ruim")))</x:f>
        <x:v>Moderada</x:v>
      </x:c>
    </x:row>
    <x:row r="129" ht="20" customHeight="1">
      <x:c r="A129" s="44" t="n">
        <x:v>46245</x:v>
      </x:c>
      <x:c r="B129" s="45" t="str">
        <x:v>Zona Sul (Ibirapuera)</x:v>
      </x:c>
      <x:c r="C129" s="46" t="n">
        <x:v>4220</x:v>
      </x:c>
      <x:c r="D129" s="47" t="n">
        <x:v>24.5</x:v>
      </x:c>
      <x:c r="E129" s="48" t="n">
        <x:v>57</x:v>
      </x:c>
      <x:c r="F129" s="48" t="n">
        <x:v>517</x:v>
      </x:c>
      <x:c r="G129" s="47" t="n">
        <x:v>35.7</x:v>
      </x:c>
      <x:c r="H129" s="49" t="str">
        <x:f>IF(G129&lt;=25,"Boa",IF(G129&lt;=50,"Moderada",IF(G129&lt;=75,"Ruim","Muito Ruim")))</x:f>
        <x:v>Moderada</x:v>
      </x:c>
    </x:row>
    <x:row r="130" ht="20" customHeight="1">
      <x:c r="A130" s="50" t="n">
        <x:v>46245</x:v>
      </x:c>
      <x:c r="B130" s="51" t="str">
        <x:v>Vila Mariana</x:v>
      </x:c>
      <x:c r="C130" s="52" t="n">
        <x:v>6366</x:v>
      </x:c>
      <x:c r="D130" s="53" t="n">
        <x:v>24.1</x:v>
      </x:c>
      <x:c r="E130" s="54" t="n">
        <x:v>66</x:v>
      </x:c>
      <x:c r="F130" s="54" t="n">
        <x:v>612</x:v>
      </x:c>
      <x:c r="G130" s="53" t="n">
        <x:v>25.9</x:v>
      </x:c>
      <x:c r="H130" s="55" t="str">
        <x:f>IF(G130&lt;=25,"Boa",IF(G130&lt;=50,"Moderada",IF(G130&lt;=75,"Ruim","Muito Ruim")))</x:f>
        <x:v>Moderada</x:v>
      </x:c>
    </x:row>
    <x:row r="131" ht="20" customHeight="1">
      <x:c r="A131" s="44" t="n">
        <x:v>46245</x:v>
      </x:c>
      <x:c r="B131" s="45" t="str">
        <x:v>Santana</x:v>
      </x:c>
      <x:c r="C131" s="46" t="n">
        <x:v>6793</x:v>
      </x:c>
      <x:c r="D131" s="47" t="n">
        <x:v>25.4</x:v>
      </x:c>
      <x:c r="E131" s="48" t="n">
        <x:v>62</x:v>
      </x:c>
      <x:c r="F131" s="48" t="n">
        <x:v>599</x:v>
      </x:c>
      <x:c r="G131" s="47" t="n">
        <x:v>29.8</x:v>
      </x:c>
      <x:c r="H131" s="49" t="str">
        <x:f>IF(G131&lt;=25,"Boa",IF(G131&lt;=50,"Moderada",IF(G131&lt;=75,"Ruim","Muito Ruim")))</x:f>
        <x:v>Moderada</x:v>
      </x:c>
    </x:row>
    <x:row r="132" ht="20" customHeight="1">
      <x:c r="A132" s="50" t="n">
        <x:v>46245</x:v>
      </x:c>
      <x:c r="B132" s="51" t="str">
        <x:v>Lapa</x:v>
      </x:c>
      <x:c r="C132" s="52" t="n">
        <x:v>5856</x:v>
      </x:c>
      <x:c r="D132" s="53" t="n">
        <x:v>24.1</x:v>
      </x:c>
      <x:c r="E132" s="54" t="n">
        <x:v>59</x:v>
      </x:c>
      <x:c r="F132" s="54" t="n">
        <x:v>584</x:v>
      </x:c>
      <x:c r="G132" s="53" t="n">
        <x:v>41.4</x:v>
      </x:c>
      <x:c r="H132" s="55" t="str">
        <x:f>IF(G132&lt;=25,"Boa",IF(G132&lt;=50,"Moderada",IF(G132&lt;=75,"Ruim","Muito Ruim")))</x:f>
        <x:v>Moderada</x:v>
      </x:c>
    </x:row>
    <x:row r="133" ht="20" customHeight="1">
      <x:c r="A133" s="44" t="n">
        <x:v>46245</x:v>
      </x:c>
      <x:c r="B133" s="45" t="str">
        <x:v>Moema</x:v>
      </x:c>
      <x:c r="C133" s="46" t="n">
        <x:v>4345</x:v>
      </x:c>
      <x:c r="D133" s="47" t="n">
        <x:v>29.9</x:v>
      </x:c>
      <x:c r="E133" s="48" t="n">
        <x:v>61</x:v>
      </x:c>
      <x:c r="F133" s="48" t="n">
        <x:v>595</x:v>
      </x:c>
      <x:c r="G133" s="47" t="n">
        <x:v>40.1</x:v>
      </x:c>
      <x:c r="H133" s="49" t="str">
        <x:f>IF(G133&lt;=25,"Boa",IF(G133&lt;=50,"Moderada",IF(G133&lt;=75,"Ruim","Muito Ruim")))</x:f>
        <x:v>Moderada</x:v>
      </x:c>
    </x:row>
    <x:row r="134" ht="20" customHeight="1">
      <x:c r="A134" s="50" t="n">
        <x:v>46245</x:v>
      </x:c>
      <x:c r="B134" s="51" t="str">
        <x:v>Santo Amaro</x:v>
      </x:c>
      <x:c r="C134" s="52" t="n">
        <x:v>5947</x:v>
      </x:c>
      <x:c r="D134" s="53" t="n">
        <x:v>31.1</x:v>
      </x:c>
      <x:c r="E134" s="54" t="n">
        <x:v>55</x:v>
      </x:c>
      <x:c r="F134" s="54" t="n">
        <x:v>685</x:v>
      </x:c>
      <x:c r="G134" s="53" t="n">
        <x:v>42.9</x:v>
      </x:c>
      <x:c r="H134" s="55" t="str">
        <x:f>IF(G134&lt;=25,"Boa",IF(G134&lt;=50,"Moderada",IF(G134&lt;=75,"Ruim","Muito Ruim")))</x:f>
        <x:v>Moderada</x:v>
      </x:c>
    </x:row>
    <x:row r="135" ht="20" customHeight="1">
      <x:c r="A135" s="44" t="n">
        <x:v>46245</x:v>
      </x:c>
      <x:c r="B135" s="45" t="str">
        <x:v>Itaquera</x:v>
      </x:c>
      <x:c r="C135" s="46" t="n">
        <x:v>6226</x:v>
      </x:c>
      <x:c r="D135" s="47" t="n">
        <x:v>25.4</x:v>
      </x:c>
      <x:c r="E135" s="48" t="n">
        <x:v>75</x:v>
      </x:c>
      <x:c r="F135" s="48" t="n">
        <x:v>659</x:v>
      </x:c>
      <x:c r="G135" s="47" t="n">
        <x:v>31.3</x:v>
      </x:c>
      <x:c r="H135" s="49" t="str">
        <x:f>IF(G135&lt;=25,"Boa",IF(G135&lt;=50,"Moderada",IF(G135&lt;=75,"Ruim","Muito Ruim")))</x:f>
        <x:v>Moderada</x:v>
      </x:c>
    </x:row>
    <x:row r="136" ht="20" customHeight="1">
      <x:c r="A136" s="50" t="n">
        <x:v>46245</x:v>
      </x:c>
      <x:c r="B136" s="51" t="str">
        <x:v>São Mateus</x:v>
      </x:c>
      <x:c r="C136" s="52" t="n">
        <x:v>6123</x:v>
      </x:c>
      <x:c r="D136" s="53" t="n">
        <x:v>25.2</x:v>
      </x:c>
      <x:c r="E136" s="54" t="n">
        <x:v>70</x:v>
      </x:c>
      <x:c r="F136" s="54" t="n">
        <x:v>692</x:v>
      </x:c>
      <x:c r="G136" s="53" t="n">
        <x:v>51.6</x:v>
      </x:c>
      <x:c r="H136" s="55" t="str">
        <x:f>IF(G136&lt;=25,"Boa",IF(G136&lt;=50,"Moderada",IF(G136&lt;=75,"Ruim","Muito Ruim")))</x:f>
        <x:v>Ruim</x:v>
      </x:c>
    </x:row>
    <x:row r="137" ht="20" customHeight="1">
      <x:c r="A137" s="44" t="n">
        <x:v>46246</x:v>
      </x:c>
      <x:c r="B137" s="45" t="str">
        <x:v>Centro</x:v>
      </x:c>
      <x:c r="C137" s="46" t="n">
        <x:v>5046</x:v>
      </x:c>
      <x:c r="D137" s="47" t="n">
        <x:v>28.8</x:v>
      </x:c>
      <x:c r="E137" s="48" t="n">
        <x:v>60</x:v>
      </x:c>
      <x:c r="F137" s="48" t="n">
        <x:v>596</x:v>
      </x:c>
      <x:c r="G137" s="47" t="n">
        <x:v>36.7</x:v>
      </x:c>
      <x:c r="H137" s="49" t="str">
        <x:f>IF(G137&lt;=25,"Boa",IF(G137&lt;=50,"Moderada",IF(G137&lt;=75,"Ruim","Muito Ruim")))</x:f>
        <x:v>Moderada</x:v>
      </x:c>
    </x:row>
    <x:row r="138" ht="20" customHeight="1">
      <x:c r="A138" s="50" t="n">
        <x:v>46246</x:v>
      </x:c>
      <x:c r="B138" s="51" t="str">
        <x:v>Marginal Tietê</x:v>
      </x:c>
      <x:c r="C138" s="52" t="n">
        <x:v>7799</x:v>
      </x:c>
      <x:c r="D138" s="53" t="n">
        <x:v>28.4</x:v>
      </x:c>
      <x:c r="E138" s="54" t="n">
        <x:v>51</x:v>
      </x:c>
      <x:c r="F138" s="54" t="n">
        <x:v>713</x:v>
      </x:c>
      <x:c r="G138" s="53" t="n">
        <x:v>40.9</x:v>
      </x:c>
      <x:c r="H138" s="55" t="str">
        <x:f>IF(G138&lt;=25,"Boa",IF(G138&lt;=50,"Moderada",IF(G138&lt;=75,"Ruim","Muito Ruim")))</x:f>
        <x:v>Moderada</x:v>
      </x:c>
    </x:row>
    <x:row r="139" ht="20" customHeight="1">
      <x:c r="A139" s="44" t="n">
        <x:v>46246</x:v>
      </x:c>
      <x:c r="B139" s="45" t="str">
        <x:v>Paulista</x:v>
      </x:c>
      <x:c r="C139" s="46" t="n">
        <x:v>6266</x:v>
      </x:c>
      <x:c r="D139" s="47" t="n">
        <x:v>24.7</x:v>
      </x:c>
      <x:c r="E139" s="48" t="n">
        <x:v>71</x:v>
      </x:c>
      <x:c r="F139" s="48" t="n">
        <x:v>669</x:v>
      </x:c>
      <x:c r="G139" s="47" t="n">
        <x:v>33.3</x:v>
      </x:c>
      <x:c r="H139" s="49" t="str">
        <x:f>IF(G139&lt;=25,"Boa",IF(G139&lt;=50,"Moderada",IF(G139&lt;=75,"Ruim","Muito Ruim")))</x:f>
        <x:v>Moderada</x:v>
      </x:c>
    </x:row>
    <x:row r="140" ht="20" customHeight="1">
      <x:c r="A140" s="50" t="n">
        <x:v>46246</x:v>
      </x:c>
      <x:c r="B140" s="51" t="str">
        <x:v>Pinheiros</x:v>
      </x:c>
      <x:c r="C140" s="52" t="n">
        <x:v>6311</x:v>
      </x:c>
      <x:c r="D140" s="53" t="n">
        <x:v>24.6</x:v>
      </x:c>
      <x:c r="E140" s="54" t="n">
        <x:v>63</x:v>
      </x:c>
      <x:c r="F140" s="54" t="n">
        <x:v>592</x:v>
      </x:c>
      <x:c r="G140" s="53" t="n">
        <x:v>27.5</x:v>
      </x:c>
      <x:c r="H140" s="55" t="str">
        <x:f>IF(G140&lt;=25,"Boa",IF(G140&lt;=50,"Moderada",IF(G140&lt;=75,"Ruim","Muito Ruim")))</x:f>
        <x:v>Moderada</x:v>
      </x:c>
    </x:row>
    <x:row r="141" ht="20" customHeight="1">
      <x:c r="A141" s="44" t="n">
        <x:v>46246</x:v>
      </x:c>
      <x:c r="B141" s="45" t="str">
        <x:v>Zona Sul (Ibirapuera)</x:v>
      </x:c>
      <x:c r="C141" s="46" t="n">
        <x:v>6098</x:v>
      </x:c>
      <x:c r="D141" s="47" t="n">
        <x:v>22.4</x:v>
      </x:c>
      <x:c r="E141" s="48" t="n">
        <x:v>73</x:v>
      </x:c>
      <x:c r="F141" s="48" t="n">
        <x:v>625</x:v>
      </x:c>
      <x:c r="G141" s="47" t="n">
        <x:v>24.4</x:v>
      </x:c>
      <x:c r="H141" s="49" t="str">
        <x:f>IF(G141&lt;=25,"Boa",IF(G141&lt;=50,"Moderada",IF(G141&lt;=75,"Ruim","Muito Ruim")))</x:f>
        <x:v>Boa</x:v>
      </x:c>
    </x:row>
    <x:row r="142" ht="20" customHeight="1">
      <x:c r="A142" s="50" t="n">
        <x:v>46246</x:v>
      </x:c>
      <x:c r="B142" s="51" t="str">
        <x:v>Vila Mariana</x:v>
      </x:c>
      <x:c r="C142" s="52" t="n">
        <x:v>5767</x:v>
      </x:c>
      <x:c r="D142" s="53" t="n">
        <x:v>26.1</x:v>
      </x:c>
      <x:c r="E142" s="54" t="n">
        <x:v>71</x:v>
      </x:c>
      <x:c r="F142" s="54" t="n">
        <x:v>574</x:v>
      </x:c>
      <x:c r="G142" s="53" t="n">
        <x:v>34.3</x:v>
      </x:c>
      <x:c r="H142" s="55" t="str">
        <x:f>IF(G142&lt;=25,"Boa",IF(G142&lt;=50,"Moderada",IF(G142&lt;=75,"Ruim","Muito Ruim")))</x:f>
        <x:v>Moderada</x:v>
      </x:c>
    </x:row>
    <x:row r="143" ht="20" customHeight="1">
      <x:c r="A143" s="44" t="n">
        <x:v>46246</x:v>
      </x:c>
      <x:c r="B143" s="45" t="str">
        <x:v>Santana</x:v>
      </x:c>
      <x:c r="C143" s="46" t="n">
        <x:v>6867</x:v>
      </x:c>
      <x:c r="D143" s="47" t="n">
        <x:v>30.3</x:v>
      </x:c>
      <x:c r="E143" s="48" t="n">
        <x:v>66</x:v>
      </x:c>
      <x:c r="F143" s="48" t="n">
        <x:v>675</x:v>
      </x:c>
      <x:c r="G143" s="47" t="n">
        <x:v>43.9</x:v>
      </x:c>
      <x:c r="H143" s="49" t="str">
        <x:f>IF(G143&lt;=25,"Boa",IF(G143&lt;=50,"Moderada",IF(G143&lt;=75,"Ruim","Muito Ruim")))</x:f>
        <x:v>Moderada</x:v>
      </x:c>
    </x:row>
    <x:row r="144" ht="20" customHeight="1">
      <x:c r="A144" s="50" t="n">
        <x:v>46246</x:v>
      </x:c>
      <x:c r="B144" s="51" t="str">
        <x:v>Lapa</x:v>
      </x:c>
      <x:c r="C144" s="52" t="n">
        <x:v>5649</x:v>
      </x:c>
      <x:c r="D144" s="53" t="n">
        <x:v>22.9</x:v>
      </x:c>
      <x:c r="E144" s="54" t="n">
        <x:v>75</x:v>
      </x:c>
      <x:c r="F144" s="54" t="n">
        <x:v>595</x:v>
      </x:c>
      <x:c r="G144" s="53" t="n">
        <x:v>44.7</x:v>
      </x:c>
      <x:c r="H144" s="55" t="str">
        <x:f>IF(G144&lt;=25,"Boa",IF(G144&lt;=50,"Moderada",IF(G144&lt;=75,"Ruim","Muito Ruim")))</x:f>
        <x:v>Moderada</x:v>
      </x:c>
    </x:row>
    <x:row r="145" ht="20" customHeight="1">
      <x:c r="A145" s="44" t="n">
        <x:v>46246</x:v>
      </x:c>
      <x:c r="B145" s="45" t="str">
        <x:v>Moema</x:v>
      </x:c>
      <x:c r="C145" s="46" t="n">
        <x:v>4553</x:v>
      </x:c>
      <x:c r="D145" s="47" t="n">
        <x:v>26.9</x:v>
      </x:c>
      <x:c r="E145" s="48" t="n">
        <x:v>68</x:v>
      </x:c>
      <x:c r="F145" s="48" t="n">
        <x:v>597</x:v>
      </x:c>
      <x:c r="G145" s="47" t="n">
        <x:v>38.5</x:v>
      </x:c>
      <x:c r="H145" s="49" t="str">
        <x:f>IF(G145&lt;=25,"Boa",IF(G145&lt;=50,"Moderada",IF(G145&lt;=75,"Ruim","Muito Ruim")))</x:f>
        <x:v>Moderada</x:v>
      </x:c>
    </x:row>
    <x:row r="146" ht="20" customHeight="1">
      <x:c r="A146" s="50" t="n">
        <x:v>46246</x:v>
      </x:c>
      <x:c r="B146" s="51" t="str">
        <x:v>Santo Amaro</x:v>
      </x:c>
      <x:c r="C146" s="52" t="n">
        <x:v>6816</x:v>
      </x:c>
      <x:c r="D146" s="53" t="n">
        <x:v>23.7</x:v>
      </x:c>
      <x:c r="E146" s="54" t="n">
        <x:v>57</x:v>
      </x:c>
      <x:c r="F146" s="54" t="n">
        <x:v>640</x:v>
      </x:c>
      <x:c r="G146" s="53" t="n">
        <x:v>41.8</x:v>
      </x:c>
      <x:c r="H146" s="55" t="str">
        <x:f>IF(G146&lt;=25,"Boa",IF(G146&lt;=50,"Moderada",IF(G146&lt;=75,"Ruim","Muito Ruim")))</x:f>
        <x:v>Moderada</x:v>
      </x:c>
    </x:row>
    <x:row r="147" ht="20" customHeight="1">
      <x:c r="A147" s="44" t="n">
        <x:v>46246</x:v>
      </x:c>
      <x:c r="B147" s="45" t="str">
        <x:v>Itaquera</x:v>
      </x:c>
      <x:c r="C147" s="46" t="n">
        <x:v>6982</x:v>
      </x:c>
      <x:c r="D147" s="47" t="n">
        <x:v>21.6</x:v>
      </x:c>
      <x:c r="E147" s="48" t="n">
        <x:v>67</x:v>
      </x:c>
      <x:c r="F147" s="48" t="n">
        <x:v>659</x:v>
      </x:c>
      <x:c r="G147" s="47" t="n">
        <x:v>54.7</x:v>
      </x:c>
      <x:c r="H147" s="49" t="str">
        <x:f>IF(G147&lt;=25,"Boa",IF(G147&lt;=50,"Moderada",IF(G147&lt;=75,"Ruim","Muito Ruim")))</x:f>
        <x:v>Ruim</x:v>
      </x:c>
    </x:row>
    <x:row r="148" ht="20" customHeight="1">
      <x:c r="A148" s="50" t="n">
        <x:v>46246</x:v>
      </x:c>
      <x:c r="B148" s="51" t="str">
        <x:v>São Mateus</x:v>
      </x:c>
      <x:c r="C148" s="52" t="n">
        <x:v>7223</x:v>
      </x:c>
      <x:c r="D148" s="53" t="n">
        <x:v>26.5</x:v>
      </x:c>
      <x:c r="E148" s="54" t="n">
        <x:v>76</x:v>
      </x:c>
      <x:c r="F148" s="54" t="n">
        <x:v>624</x:v>
      </x:c>
      <x:c r="G148" s="53" t="n">
        <x:v>48.6</x:v>
      </x:c>
      <x:c r="H148" s="55" t="str">
        <x:f>IF(G148&lt;=25,"Boa",IF(G148&lt;=50,"Moderada",IF(G148&lt;=75,"Ruim","Muito Ruim")))</x:f>
        <x:v>Moderada</x:v>
      </x:c>
    </x:row>
    <x:row r="149" ht="20" customHeight="1">
      <x:c r="A149" s="44" t="n">
        <x:v>46247</x:v>
      </x:c>
      <x:c r="B149" s="45" t="str">
        <x:v>Centro</x:v>
      </x:c>
      <x:c r="C149" s="46" t="n">
        <x:v>4814</x:v>
      </x:c>
      <x:c r="D149" s="47" t="n">
        <x:v>28.4</x:v>
      </x:c>
      <x:c r="E149" s="48" t="n">
        <x:v>55</x:v>
      </x:c>
      <x:c r="F149" s="48" t="n">
        <x:v>613</x:v>
      </x:c>
      <x:c r="G149" s="47" t="n">
        <x:v>45.1</x:v>
      </x:c>
      <x:c r="H149" s="49" t="str">
        <x:f>IF(G149&lt;=25,"Boa",IF(G149&lt;=50,"Moderada",IF(G149&lt;=75,"Ruim","Muito Ruim")))</x:f>
        <x:v>Moderada</x:v>
      </x:c>
    </x:row>
    <x:row r="150" ht="20" customHeight="1">
      <x:c r="A150" s="50" t="n">
        <x:v>46247</x:v>
      </x:c>
      <x:c r="B150" s="51" t="str">
        <x:v>Marginal Tietê</x:v>
      </x:c>
      <x:c r="C150" s="52" t="n">
        <x:v>8379</x:v>
      </x:c>
      <x:c r="D150" s="53" t="n">
        <x:v>21.3</x:v>
      </x:c>
      <x:c r="E150" s="54" t="n">
        <x:v>65</x:v>
      </x:c>
      <x:c r="F150" s="54" t="n">
        <x:v>701</x:v>
      </x:c>
      <x:c r="G150" s="53" t="n">
        <x:v>56.1</x:v>
      </x:c>
      <x:c r="H150" s="55" t="str">
        <x:f>IF(G150&lt;=25,"Boa",IF(G150&lt;=50,"Moderada",IF(G150&lt;=75,"Ruim","Muito Ruim")))</x:f>
        <x:v>Ruim</x:v>
      </x:c>
    </x:row>
    <x:row r="151" ht="20" customHeight="1">
      <x:c r="A151" s="44" t="n">
        <x:v>46247</x:v>
      </x:c>
      <x:c r="B151" s="45" t="str">
        <x:v>Paulista</x:v>
      </x:c>
      <x:c r="C151" s="46" t="n">
        <x:v>6856</x:v>
      </x:c>
      <x:c r="D151" s="47" t="n">
        <x:v>30.2</x:v>
      </x:c>
      <x:c r="E151" s="48" t="n">
        <x:v>76</x:v>
      </x:c>
      <x:c r="F151" s="48" t="n">
        <x:v>719</x:v>
      </x:c>
      <x:c r="G151" s="47" t="n">
        <x:v>55.6</x:v>
      </x:c>
      <x:c r="H151" s="49" t="str">
        <x:f>IF(G151&lt;=25,"Boa",IF(G151&lt;=50,"Moderada",IF(G151&lt;=75,"Ruim","Muito Ruim")))</x:f>
        <x:v>Ruim</x:v>
      </x:c>
    </x:row>
    <x:row r="152" ht="20" customHeight="1">
      <x:c r="A152" s="50" t="n">
        <x:v>46247</x:v>
      </x:c>
      <x:c r="B152" s="51" t="str">
        <x:v>Pinheiros</x:v>
      </x:c>
      <x:c r="C152" s="52" t="n">
        <x:v>4003</x:v>
      </x:c>
      <x:c r="D152" s="53" t="n">
        <x:v>21.3</x:v>
      </x:c>
      <x:c r="E152" s="54" t="n">
        <x:v>71</x:v>
      </x:c>
      <x:c r="F152" s="54" t="n">
        <x:v>531</x:v>
      </x:c>
      <x:c r="G152" s="53" t="n">
        <x:v>28.4</x:v>
      </x:c>
      <x:c r="H152" s="55" t="str">
        <x:f>IF(G152&lt;=25,"Boa",IF(G152&lt;=50,"Moderada",IF(G152&lt;=75,"Ruim","Muito Ruim")))</x:f>
        <x:v>Moderada</x:v>
      </x:c>
    </x:row>
    <x:row r="153" ht="20" customHeight="1">
      <x:c r="A153" s="44" t="n">
        <x:v>46247</x:v>
      </x:c>
      <x:c r="B153" s="45" t="str">
        <x:v>Zona Sul (Ibirapuera)</x:v>
      </x:c>
      <x:c r="C153" s="46" t="n">
        <x:v>3713</x:v>
      </x:c>
      <x:c r="D153" s="47" t="n">
        <x:v>22.8</x:v>
      </x:c>
      <x:c r="E153" s="48" t="n">
        <x:v>78</x:v>
      </x:c>
      <x:c r="F153" s="48" t="n">
        <x:v>581</x:v>
      </x:c>
      <x:c r="G153" s="47" t="n">
        <x:v>36.5</x:v>
      </x:c>
      <x:c r="H153" s="49" t="str">
        <x:f>IF(G153&lt;=25,"Boa",IF(G153&lt;=50,"Moderada",IF(G153&lt;=75,"Ruim","Muito Ruim")))</x:f>
        <x:v>Moderada</x:v>
      </x:c>
    </x:row>
    <x:row r="154" ht="20" customHeight="1">
      <x:c r="A154" s="50" t="n">
        <x:v>46247</x:v>
      </x:c>
      <x:c r="B154" s="51" t="str">
        <x:v>Vila Mariana</x:v>
      </x:c>
      <x:c r="C154" s="52" t="n">
        <x:v>4854</x:v>
      </x:c>
      <x:c r="D154" s="53" t="n">
        <x:v>22.3</x:v>
      </x:c>
      <x:c r="E154" s="54" t="n">
        <x:v>72</x:v>
      </x:c>
      <x:c r="F154" s="54" t="n">
        <x:v>629</x:v>
      </x:c>
      <x:c r="G154" s="53" t="n">
        <x:v>34.5</x:v>
      </x:c>
      <x:c r="H154" s="55" t="str">
        <x:f>IF(G154&lt;=25,"Boa",IF(G154&lt;=50,"Moderada",IF(G154&lt;=75,"Ruim","Muito Ruim")))</x:f>
        <x:v>Moderada</x:v>
      </x:c>
    </x:row>
    <x:row r="155" ht="20" customHeight="1">
      <x:c r="A155" s="44" t="n">
        <x:v>46247</x:v>
      </x:c>
      <x:c r="B155" s="45" t="str">
        <x:v>Santana</x:v>
      </x:c>
      <x:c r="C155" s="46" t="n">
        <x:v>4692</x:v>
      </x:c>
      <x:c r="D155" s="47" t="n">
        <x:v>24.3</x:v>
      </x:c>
      <x:c r="E155" s="48" t="n">
        <x:v>67</x:v>
      </x:c>
      <x:c r="F155" s="48" t="n">
        <x:v>556</x:v>
      </x:c>
      <x:c r="G155" s="47" t="n">
        <x:v>41.6</x:v>
      </x:c>
      <x:c r="H155" s="49" t="str">
        <x:f>IF(G155&lt;=25,"Boa",IF(G155&lt;=50,"Moderada",IF(G155&lt;=75,"Ruim","Muito Ruim")))</x:f>
        <x:v>Moderada</x:v>
      </x:c>
    </x:row>
    <x:row r="156" ht="20" customHeight="1">
      <x:c r="A156" s="50" t="n">
        <x:v>46247</x:v>
      </x:c>
      <x:c r="B156" s="51" t="str">
        <x:v>Lapa</x:v>
      </x:c>
      <x:c r="C156" s="52" t="n">
        <x:v>4907</x:v>
      </x:c>
      <x:c r="D156" s="53" t="n">
        <x:v>29.6</x:v>
      </x:c>
      <x:c r="E156" s="54" t="n">
        <x:v>51</x:v>
      </x:c>
      <x:c r="F156" s="54" t="n">
        <x:v>636</x:v>
      </x:c>
      <x:c r="G156" s="53" t="n">
        <x:v>41.6</x:v>
      </x:c>
      <x:c r="H156" s="55" t="str">
        <x:f>IF(G156&lt;=25,"Boa",IF(G156&lt;=50,"Moderada",IF(G156&lt;=75,"Ruim","Muito Ruim")))</x:f>
        <x:v>Moderada</x:v>
      </x:c>
    </x:row>
    <x:row r="157" ht="20" customHeight="1">
      <x:c r="A157" s="44" t="n">
        <x:v>46247</x:v>
      </x:c>
      <x:c r="B157" s="45" t="str">
        <x:v>Moema</x:v>
      </x:c>
      <x:c r="C157" s="46" t="n">
        <x:v>5539</x:v>
      </x:c>
      <x:c r="D157" s="47" t="n">
        <x:v>26.4</x:v>
      </x:c>
      <x:c r="E157" s="48" t="n">
        <x:v>62</x:v>
      </x:c>
      <x:c r="F157" s="48" t="n">
        <x:v>634</x:v>
      </x:c>
      <x:c r="G157" s="47" t="n">
        <x:v>28.1</x:v>
      </x:c>
      <x:c r="H157" s="49" t="str">
        <x:f>IF(G157&lt;=25,"Boa",IF(G157&lt;=50,"Moderada",IF(G157&lt;=75,"Ruim","Muito Ruim")))</x:f>
        <x:v>Moderada</x:v>
      </x:c>
    </x:row>
    <x:row r="158" ht="20" customHeight="1">
      <x:c r="A158" s="50" t="n">
        <x:v>46247</x:v>
      </x:c>
      <x:c r="B158" s="51" t="str">
        <x:v>Santo Amaro</x:v>
      </x:c>
      <x:c r="C158" s="52" t="n">
        <x:v>6068</x:v>
      </x:c>
      <x:c r="D158" s="53" t="n">
        <x:v>29.1</x:v>
      </x:c>
      <x:c r="E158" s="54" t="n">
        <x:v>76</x:v>
      </x:c>
      <x:c r="F158" s="54" t="n">
        <x:v>683</x:v>
      </x:c>
      <x:c r="G158" s="53" t="n">
        <x:v>33.3</x:v>
      </x:c>
      <x:c r="H158" s="55" t="str">
        <x:f>IF(G158&lt;=25,"Boa",IF(G158&lt;=50,"Moderada",IF(G158&lt;=75,"Ruim","Muito Ruim")))</x:f>
        <x:v>Moderada</x:v>
      </x:c>
    </x:row>
    <x:row r="159" ht="20" customHeight="1">
      <x:c r="A159" s="44" t="n">
        <x:v>46247</x:v>
      </x:c>
      <x:c r="B159" s="45" t="str">
        <x:v>Itaquera</x:v>
      </x:c>
      <x:c r="C159" s="46" t="n">
        <x:v>6869</x:v>
      </x:c>
      <x:c r="D159" s="47" t="n">
        <x:v>29.3</x:v>
      </x:c>
      <x:c r="E159" s="48" t="n">
        <x:v>60</x:v>
      </x:c>
      <x:c r="F159" s="48" t="n">
        <x:v>715</x:v>
      </x:c>
      <x:c r="G159" s="47" t="n">
        <x:v>42.9</x:v>
      </x:c>
      <x:c r="H159" s="49" t="str">
        <x:f>IF(G159&lt;=25,"Boa",IF(G159&lt;=50,"Moderada",IF(G159&lt;=75,"Ruim","Muito Ruim")))</x:f>
        <x:v>Moderada</x:v>
      </x:c>
    </x:row>
    <x:row r="160" ht="20" customHeight="1">
      <x:c r="A160" s="50" t="n">
        <x:v>46247</x:v>
      </x:c>
      <x:c r="B160" s="51" t="str">
        <x:v>São Mateus</x:v>
      </x:c>
      <x:c r="C160" s="52" t="n">
        <x:v>6491</x:v>
      </x:c>
      <x:c r="D160" s="53" t="n">
        <x:v>27.4</x:v>
      </x:c>
      <x:c r="E160" s="54" t="n">
        <x:v>70</x:v>
      </x:c>
      <x:c r="F160" s="54" t="n">
        <x:v>697</x:v>
      </x:c>
      <x:c r="G160" s="53" t="n">
        <x:v>53.4</x:v>
      </x:c>
      <x:c r="H160" s="55" t="str">
        <x:f>IF(G160&lt;=25,"Boa",IF(G160&lt;=50,"Moderada",IF(G160&lt;=75,"Ruim","Muito Ruim")))</x:f>
        <x:v>Ruim</x:v>
      </x:c>
    </x:row>
    <x:row r="161" ht="20" customHeight="1">
      <x:c r="A161" s="44" t="n">
        <x:v>46248</x:v>
      </x:c>
      <x:c r="B161" s="45" t="str">
        <x:v>Centro</x:v>
      </x:c>
      <x:c r="C161" s="46" t="n">
        <x:v>6358</x:v>
      </x:c>
      <x:c r="D161" s="47" t="n">
        <x:v>29.5</x:v>
      </x:c>
      <x:c r="E161" s="48" t="n">
        <x:v>65</x:v>
      </x:c>
      <x:c r="F161" s="48" t="n">
        <x:v>591</x:v>
      </x:c>
      <x:c r="G161" s="47" t="n">
        <x:v>46.7</x:v>
      </x:c>
      <x:c r="H161" s="49" t="str">
        <x:f>IF(G161&lt;=25,"Boa",IF(G161&lt;=50,"Moderada",IF(G161&lt;=75,"Ruim","Muito Ruim")))</x:f>
        <x:v>Moderada</x:v>
      </x:c>
    </x:row>
    <x:row r="162" ht="20" customHeight="1">
      <x:c r="A162" s="50" t="n">
        <x:v>46248</x:v>
      </x:c>
      <x:c r="B162" s="51" t="str">
        <x:v>Marginal Tietê</x:v>
      </x:c>
      <x:c r="C162" s="52" t="n">
        <x:v>8558</x:v>
      </x:c>
      <x:c r="D162" s="53" t="n">
        <x:v>25.2</x:v>
      </x:c>
      <x:c r="E162" s="54" t="n">
        <x:v>74</x:v>
      </x:c>
      <x:c r="F162" s="54" t="n">
        <x:v>764</x:v>
      </x:c>
      <x:c r="G162" s="53" t="n">
        <x:v>57.2</x:v>
      </x:c>
      <x:c r="H162" s="55" t="str">
        <x:f>IF(G162&lt;=25,"Boa",IF(G162&lt;=50,"Moderada",IF(G162&lt;=75,"Ruim","Muito Ruim")))</x:f>
        <x:v>Ruim</x:v>
      </x:c>
    </x:row>
    <x:row r="163" ht="20" customHeight="1">
      <x:c r="A163" s="44" t="n">
        <x:v>46248</x:v>
      </x:c>
      <x:c r="B163" s="45" t="str">
        <x:v>Paulista</x:v>
      </x:c>
      <x:c r="C163" s="46" t="n">
        <x:v>7701</x:v>
      </x:c>
      <x:c r="D163" s="47" t="n">
        <x:v>26</x:v>
      </x:c>
      <x:c r="E163" s="48" t="n">
        <x:v>75</x:v>
      </x:c>
      <x:c r="F163" s="48" t="n">
        <x:v>668</x:v>
      </x:c>
      <x:c r="G163" s="47" t="n">
        <x:v>54.7</x:v>
      </x:c>
      <x:c r="H163" s="49" t="str">
        <x:f>IF(G163&lt;=25,"Boa",IF(G163&lt;=50,"Moderada",IF(G163&lt;=75,"Ruim","Muito Ruim")))</x:f>
        <x:v>Ruim</x:v>
      </x:c>
    </x:row>
    <x:row r="164" ht="20" customHeight="1">
      <x:c r="A164" s="50" t="n">
        <x:v>46248</x:v>
      </x:c>
      <x:c r="B164" s="51" t="str">
        <x:v>Pinheiros</x:v>
      </x:c>
      <x:c r="C164" s="52" t="n">
        <x:v>5426</x:v>
      </x:c>
      <x:c r="D164" s="53" t="n">
        <x:v>27.8</x:v>
      </x:c>
      <x:c r="E164" s="54" t="n">
        <x:v>55</x:v>
      </x:c>
      <x:c r="F164" s="54" t="n">
        <x:v>624</x:v>
      </x:c>
      <x:c r="G164" s="53" t="n">
        <x:v>33.9</x:v>
      </x:c>
      <x:c r="H164" s="55" t="str">
        <x:f>IF(G164&lt;=25,"Boa",IF(G164&lt;=50,"Moderada",IF(G164&lt;=75,"Ruim","Muito Ruim")))</x:f>
        <x:v>Moderada</x:v>
      </x:c>
    </x:row>
    <x:row r="165" ht="20" customHeight="1">
      <x:c r="A165" s="44" t="n">
        <x:v>46248</x:v>
      </x:c>
      <x:c r="B165" s="45" t="str">
        <x:v>Zona Sul (Ibirapuera)</x:v>
      </x:c>
      <x:c r="C165" s="46" t="n">
        <x:v>4109</x:v>
      </x:c>
      <x:c r="D165" s="47" t="n">
        <x:v>22.2</x:v>
      </x:c>
      <x:c r="E165" s="48" t="n">
        <x:v>69</x:v>
      </x:c>
      <x:c r="F165" s="48" t="n">
        <x:v>542</x:v>
      </x:c>
      <x:c r="G165" s="47" t="n">
        <x:v>19.8</x:v>
      </x:c>
      <x:c r="H165" s="49" t="str">
        <x:f>IF(G165&lt;=25,"Boa",IF(G165&lt;=50,"Moderada",IF(G165&lt;=75,"Ruim","Muito Ruim")))</x:f>
        <x:v>Boa</x:v>
      </x:c>
    </x:row>
    <x:row r="166" ht="20" customHeight="1">
      <x:c r="A166" s="50" t="n">
        <x:v>46248</x:v>
      </x:c>
      <x:c r="B166" s="51" t="str">
        <x:v>Vila Mariana</x:v>
      </x:c>
      <x:c r="C166" s="52" t="n">
        <x:v>6568</x:v>
      </x:c>
      <x:c r="D166" s="53" t="n">
        <x:v>26.7</x:v>
      </x:c>
      <x:c r="E166" s="54" t="n">
        <x:v>61</x:v>
      </x:c>
      <x:c r="F166" s="54" t="n">
        <x:v>640</x:v>
      </x:c>
      <x:c r="G166" s="53" t="n">
        <x:v>46</x:v>
      </x:c>
      <x:c r="H166" s="55" t="str">
        <x:f>IF(G166&lt;=25,"Boa",IF(G166&lt;=50,"Moderada",IF(G166&lt;=75,"Ruim","Muito Ruim")))</x:f>
        <x:v>Moderada</x:v>
      </x:c>
    </x:row>
    <x:row r="167" ht="20" customHeight="1">
      <x:c r="A167" s="44" t="n">
        <x:v>46248</x:v>
      </x:c>
      <x:c r="B167" s="45" t="str">
        <x:v>Santana</x:v>
      </x:c>
      <x:c r="C167" s="46" t="n">
        <x:v>5181</x:v>
      </x:c>
      <x:c r="D167" s="47" t="n">
        <x:v>25.8</x:v>
      </x:c>
      <x:c r="E167" s="48" t="n">
        <x:v>68</x:v>
      </x:c>
      <x:c r="F167" s="48" t="n">
        <x:v>635</x:v>
      </x:c>
      <x:c r="G167" s="47" t="n">
        <x:v>42.2</x:v>
      </x:c>
      <x:c r="H167" s="49" t="str">
        <x:f>IF(G167&lt;=25,"Boa",IF(G167&lt;=50,"Moderada",IF(G167&lt;=75,"Ruim","Muito Ruim")))</x:f>
        <x:v>Moderada</x:v>
      </x:c>
    </x:row>
    <x:row r="168" ht="20" customHeight="1">
      <x:c r="A168" s="50" t="n">
        <x:v>46248</x:v>
      </x:c>
      <x:c r="B168" s="51" t="str">
        <x:v>Lapa</x:v>
      </x:c>
      <x:c r="C168" s="52" t="n">
        <x:v>5769</x:v>
      </x:c>
      <x:c r="D168" s="53" t="n">
        <x:v>26.8</x:v>
      </x:c>
      <x:c r="E168" s="54" t="n">
        <x:v>78</x:v>
      </x:c>
      <x:c r="F168" s="54" t="n">
        <x:v>584</x:v>
      </x:c>
      <x:c r="G168" s="53" t="n">
        <x:v>40.9</x:v>
      </x:c>
      <x:c r="H168" s="55" t="str">
        <x:f>IF(G168&lt;=25,"Boa",IF(G168&lt;=50,"Moderada",IF(G168&lt;=75,"Ruim","Muito Ruim")))</x:f>
        <x:v>Moderada</x:v>
      </x:c>
    </x:row>
    <x:row r="169" ht="20" customHeight="1">
      <x:c r="A169" s="44" t="n">
        <x:v>46248</x:v>
      </x:c>
      <x:c r="B169" s="45" t="str">
        <x:v>Moema</x:v>
      </x:c>
      <x:c r="C169" s="46" t="n">
        <x:v>5171</x:v>
      </x:c>
      <x:c r="D169" s="47" t="n">
        <x:v>27.1</x:v>
      </x:c>
      <x:c r="E169" s="48" t="n">
        <x:v>64</x:v>
      </x:c>
      <x:c r="F169" s="48" t="n">
        <x:v>556</x:v>
      </x:c>
      <x:c r="G169" s="47" t="n">
        <x:v>43</x:v>
      </x:c>
      <x:c r="H169" s="49" t="str">
        <x:f>IF(G169&lt;=25,"Boa",IF(G169&lt;=50,"Moderada",IF(G169&lt;=75,"Ruim","Muito Ruim")))</x:f>
        <x:v>Moderada</x:v>
      </x:c>
    </x:row>
    <x:row r="170" ht="20" customHeight="1">
      <x:c r="A170" s="50" t="n">
        <x:v>46248</x:v>
      </x:c>
      <x:c r="B170" s="51" t="str">
        <x:v>Santo Amaro</x:v>
      </x:c>
      <x:c r="C170" s="52" t="n">
        <x:v>7282</x:v>
      </x:c>
      <x:c r="D170" s="53" t="n">
        <x:v>24.8</x:v>
      </x:c>
      <x:c r="E170" s="54" t="n">
        <x:v>67</x:v>
      </x:c>
      <x:c r="F170" s="54" t="n">
        <x:v>699</x:v>
      </x:c>
      <x:c r="G170" s="53" t="n">
        <x:v>53.8</x:v>
      </x:c>
      <x:c r="H170" s="55" t="str">
        <x:f>IF(G170&lt;=25,"Boa",IF(G170&lt;=50,"Moderada",IF(G170&lt;=75,"Ruim","Muito Ruim")))</x:f>
        <x:v>Ruim</x:v>
      </x:c>
    </x:row>
    <x:row r="171" ht="20" customHeight="1">
      <x:c r="A171" s="44" t="n">
        <x:v>46248</x:v>
      </x:c>
      <x:c r="B171" s="45" t="str">
        <x:v>Itaquera</x:v>
      </x:c>
      <x:c r="C171" s="46" t="n">
        <x:v>8004</x:v>
      </x:c>
      <x:c r="D171" s="47" t="n">
        <x:v>21</x:v>
      </x:c>
      <x:c r="E171" s="48" t="n">
        <x:v>79</x:v>
      </x:c>
      <x:c r="F171" s="48" t="n">
        <x:v>738</x:v>
      </x:c>
      <x:c r="G171" s="47" t="n">
        <x:v>40.1</x:v>
      </x:c>
      <x:c r="H171" s="49" t="str">
        <x:f>IF(G171&lt;=25,"Boa",IF(G171&lt;=50,"Moderada",IF(G171&lt;=75,"Ruim","Muito Ruim")))</x:f>
        <x:v>Moderada</x:v>
      </x:c>
    </x:row>
    <x:row r="172" ht="20" customHeight="1">
      <x:c r="A172" s="50" t="n">
        <x:v>46248</x:v>
      </x:c>
      <x:c r="B172" s="51" t="str">
        <x:v>São Mateus</x:v>
      </x:c>
      <x:c r="C172" s="52" t="n">
        <x:v>5067</x:v>
      </x:c>
      <x:c r="D172" s="53" t="n">
        <x:v>23.5</x:v>
      </x:c>
      <x:c r="E172" s="54" t="n">
        <x:v>63</x:v>
      </x:c>
      <x:c r="F172" s="54" t="n">
        <x:v>570</x:v>
      </x:c>
      <x:c r="G172" s="53" t="n">
        <x:v>41.2</x:v>
      </x:c>
      <x:c r="H172" s="55" t="str">
        <x:f>IF(G172&lt;=25,"Boa",IF(G172&lt;=50,"Moderada",IF(G172&lt;=75,"Ruim","Muito Ruim")))</x:f>
        <x:v>Moderada</x:v>
      </x:c>
    </x:row>
    <x:row r="173" ht="20" customHeight="1">
      <x:c r="A173" s="44" t="n">
        <x:v>46249</x:v>
      </x:c>
      <x:c r="B173" s="45" t="str">
        <x:v>Centro</x:v>
      </x:c>
      <x:c r="C173" s="46" t="n">
        <x:v>4729</x:v>
      </x:c>
      <x:c r="D173" s="47" t="n">
        <x:v>28.4</x:v>
      </x:c>
      <x:c r="E173" s="48" t="n">
        <x:v>63</x:v>
      </x:c>
      <x:c r="F173" s="48" t="n">
        <x:v>569</x:v>
      </x:c>
      <x:c r="G173" s="47" t="n">
        <x:v>45.1</x:v>
      </x:c>
      <x:c r="H173" s="49" t="str">
        <x:f>IF(G173&lt;=25,"Boa",IF(G173&lt;=50,"Moderada",IF(G173&lt;=75,"Ruim","Muito Ruim")))</x:f>
        <x:v>Moderada</x:v>
      </x:c>
    </x:row>
    <x:row r="174" ht="20" customHeight="1">
      <x:c r="A174" s="50" t="n">
        <x:v>46249</x:v>
      </x:c>
      <x:c r="B174" s="51" t="str">
        <x:v>Marginal Tietê</x:v>
      </x:c>
      <x:c r="C174" s="52" t="n">
        <x:v>7486</x:v>
      </x:c>
      <x:c r="D174" s="53" t="n">
        <x:v>26.7</x:v>
      </x:c>
      <x:c r="E174" s="54" t="n">
        <x:v>70</x:v>
      </x:c>
      <x:c r="F174" s="54" t="n">
        <x:v>769</x:v>
      </x:c>
      <x:c r="G174" s="53" t="n">
        <x:v>49.2</x:v>
      </x:c>
      <x:c r="H174" s="55" t="str">
        <x:f>IF(G174&lt;=25,"Boa",IF(G174&lt;=50,"Moderada",IF(G174&lt;=75,"Ruim","Muito Ruim")))</x:f>
        <x:v>Moderada</x:v>
      </x:c>
    </x:row>
    <x:row r="175" ht="20" customHeight="1">
      <x:c r="A175" s="44" t="n">
        <x:v>46249</x:v>
      </x:c>
      <x:c r="B175" s="45" t="str">
        <x:v>Paulista</x:v>
      </x:c>
      <x:c r="C175" s="46" t="n">
        <x:v>5415</x:v>
      </x:c>
      <x:c r="D175" s="47" t="n">
        <x:v>22.4</x:v>
      </x:c>
      <x:c r="E175" s="48" t="n">
        <x:v>65</x:v>
      </x:c>
      <x:c r="F175" s="48" t="n">
        <x:v>655</x:v>
      </x:c>
      <x:c r="G175" s="47" t="n">
        <x:v>29.4</x:v>
      </x:c>
      <x:c r="H175" s="49" t="str">
        <x:f>IF(G175&lt;=25,"Boa",IF(G175&lt;=50,"Moderada",IF(G175&lt;=75,"Ruim","Muito Ruim")))</x:f>
        <x:v>Moderada</x:v>
      </x:c>
    </x:row>
    <x:row r="176" ht="20" customHeight="1">
      <x:c r="A176" s="50" t="n">
        <x:v>46249</x:v>
      </x:c>
      <x:c r="B176" s="51" t="str">
        <x:v>Pinheiros</x:v>
      </x:c>
      <x:c r="C176" s="52" t="n">
        <x:v>5784</x:v>
      </x:c>
      <x:c r="D176" s="53" t="n">
        <x:v>29.2</x:v>
      </x:c>
      <x:c r="E176" s="54" t="n">
        <x:v>58</x:v>
      </x:c>
      <x:c r="F176" s="54" t="n">
        <x:v>606</x:v>
      </x:c>
      <x:c r="G176" s="53" t="n">
        <x:v>25.8</x:v>
      </x:c>
      <x:c r="H176" s="55" t="str">
        <x:f>IF(G176&lt;=25,"Boa",IF(G176&lt;=50,"Moderada",IF(G176&lt;=75,"Ruim","Muito Ruim")))</x:f>
        <x:v>Moderada</x:v>
      </x:c>
    </x:row>
    <x:row r="177" ht="20" customHeight="1">
      <x:c r="A177" s="44" t="n">
        <x:v>46249</x:v>
      </x:c>
      <x:c r="B177" s="45" t="str">
        <x:v>Zona Sul (Ibirapuera)</x:v>
      </x:c>
      <x:c r="C177" s="46" t="n">
        <x:v>4558</x:v>
      </x:c>
      <x:c r="D177" s="47" t="n">
        <x:v>25.2</x:v>
      </x:c>
      <x:c r="E177" s="48" t="n">
        <x:v>62</x:v>
      </x:c>
      <x:c r="F177" s="48" t="n">
        <x:v>531</x:v>
      </x:c>
      <x:c r="G177" s="47" t="n">
        <x:v>24.2</x:v>
      </x:c>
      <x:c r="H177" s="49" t="str">
        <x:f>IF(G177&lt;=25,"Boa",IF(G177&lt;=50,"Moderada",IF(G177&lt;=75,"Ruim","Muito Ruim")))</x:f>
        <x:v>Boa</x:v>
      </x:c>
    </x:row>
    <x:row r="178" ht="20" customHeight="1">
      <x:c r="A178" s="50" t="n">
        <x:v>46249</x:v>
      </x:c>
      <x:c r="B178" s="51" t="str">
        <x:v>Vila Mariana</x:v>
      </x:c>
      <x:c r="C178" s="52" t="n">
        <x:v>4479</x:v>
      </x:c>
      <x:c r="D178" s="53" t="n">
        <x:v>22.4</x:v>
      </x:c>
      <x:c r="E178" s="54" t="n">
        <x:v>78</x:v>
      </x:c>
      <x:c r="F178" s="54" t="n">
        <x:v>603</x:v>
      </x:c>
      <x:c r="G178" s="53" t="n">
        <x:v>40.5</x:v>
      </x:c>
      <x:c r="H178" s="55" t="str">
        <x:f>IF(G178&lt;=25,"Boa",IF(G178&lt;=50,"Moderada",IF(G178&lt;=75,"Ruim","Muito Ruim")))</x:f>
        <x:v>Moderada</x:v>
      </x:c>
    </x:row>
    <x:row r="179" ht="20" customHeight="1">
      <x:c r="A179" s="44" t="n">
        <x:v>46249</x:v>
      </x:c>
      <x:c r="B179" s="45" t="str">
        <x:v>Santana</x:v>
      </x:c>
      <x:c r="C179" s="46" t="n">
        <x:v>5774</x:v>
      </x:c>
      <x:c r="D179" s="47" t="n">
        <x:v>25.5</x:v>
      </x:c>
      <x:c r="E179" s="48" t="n">
        <x:v>69</x:v>
      </x:c>
      <x:c r="F179" s="48" t="n">
        <x:v>603</x:v>
      </x:c>
      <x:c r="G179" s="47" t="n">
        <x:v>45.4</x:v>
      </x:c>
      <x:c r="H179" s="49" t="str">
        <x:f>IF(G179&lt;=25,"Boa",IF(G179&lt;=50,"Moderada",IF(G179&lt;=75,"Ruim","Muito Ruim")))</x:f>
        <x:v>Moderada</x:v>
      </x:c>
    </x:row>
    <x:row r="180" ht="20" customHeight="1">
      <x:c r="A180" s="50" t="n">
        <x:v>46249</x:v>
      </x:c>
      <x:c r="B180" s="51" t="str">
        <x:v>Lapa</x:v>
      </x:c>
      <x:c r="C180" s="52" t="n">
        <x:v>4842</x:v>
      </x:c>
      <x:c r="D180" s="53" t="n">
        <x:v>24.3</x:v>
      </x:c>
      <x:c r="E180" s="54" t="n">
        <x:v>78</x:v>
      </x:c>
      <x:c r="F180" s="54" t="n">
        <x:v>564</x:v>
      </x:c>
      <x:c r="G180" s="53" t="n">
        <x:v>38.9</x:v>
      </x:c>
      <x:c r="H180" s="55" t="str">
        <x:f>IF(G180&lt;=25,"Boa",IF(G180&lt;=50,"Moderada",IF(G180&lt;=75,"Ruim","Muito Ruim")))</x:f>
        <x:v>Moderada</x:v>
      </x:c>
    </x:row>
    <x:row r="181" ht="20" customHeight="1">
      <x:c r="A181" s="44" t="n">
        <x:v>46249</x:v>
      </x:c>
      <x:c r="B181" s="45" t="str">
        <x:v>Moema</x:v>
      </x:c>
      <x:c r="C181" s="46" t="n">
        <x:v>5034</x:v>
      </x:c>
      <x:c r="D181" s="47" t="n">
        <x:v>20.1</x:v>
      </x:c>
      <x:c r="E181" s="48" t="n">
        <x:v>78</x:v>
      </x:c>
      <x:c r="F181" s="48" t="n">
        <x:v>635</x:v>
      </x:c>
      <x:c r="G181" s="47" t="n">
        <x:v>35.2</x:v>
      </x:c>
      <x:c r="H181" s="49" t="str">
        <x:f>IF(G181&lt;=25,"Boa",IF(G181&lt;=50,"Moderada",IF(G181&lt;=75,"Ruim","Muito Ruim")))</x:f>
        <x:v>Moderada</x:v>
      </x:c>
    </x:row>
    <x:row r="182" ht="20" customHeight="1">
      <x:c r="A182" s="50" t="n">
        <x:v>46249</x:v>
      </x:c>
      <x:c r="B182" s="51" t="str">
        <x:v>Santo Amaro</x:v>
      </x:c>
      <x:c r="C182" s="52" t="n">
        <x:v>6931</x:v>
      </x:c>
      <x:c r="D182" s="53" t="n">
        <x:v>24.8</x:v>
      </x:c>
      <x:c r="E182" s="54" t="n">
        <x:v>61</x:v>
      </x:c>
      <x:c r="F182" s="54" t="n">
        <x:v>645</x:v>
      </x:c>
      <x:c r="G182" s="53" t="n">
        <x:v>51</x:v>
      </x:c>
      <x:c r="H182" s="55" t="str">
        <x:f>IF(G182&lt;=25,"Boa",IF(G182&lt;=50,"Moderada",IF(G182&lt;=75,"Ruim","Muito Ruim")))</x:f>
        <x:v>Ruim</x:v>
      </x:c>
    </x:row>
    <x:row r="183" ht="20" customHeight="1">
      <x:c r="A183" s="44" t="n">
        <x:v>46249</x:v>
      </x:c>
      <x:c r="B183" s="45" t="str">
        <x:v>Itaquera</x:v>
      </x:c>
      <x:c r="C183" s="46" t="n">
        <x:v>7024</x:v>
      </x:c>
      <x:c r="D183" s="47" t="n">
        <x:v>28.9</x:v>
      </x:c>
      <x:c r="E183" s="48" t="n">
        <x:v>79</x:v>
      </x:c>
      <x:c r="F183" s="48" t="n">
        <x:v>633</x:v>
      </x:c>
      <x:c r="G183" s="47" t="n">
        <x:v>36.4</x:v>
      </x:c>
      <x:c r="H183" s="49" t="str">
        <x:f>IF(G183&lt;=25,"Boa",IF(G183&lt;=50,"Moderada",IF(G183&lt;=75,"Ruim","Muito Ruim")))</x:f>
        <x:v>Moderada</x:v>
      </x:c>
    </x:row>
    <x:row r="184" ht="20" customHeight="1">
      <x:c r="A184" s="50" t="n">
        <x:v>46249</x:v>
      </x:c>
      <x:c r="B184" s="51" t="str">
        <x:v>São Mateus</x:v>
      </x:c>
      <x:c r="C184" s="52" t="n">
        <x:v>4888</x:v>
      </x:c>
      <x:c r="D184" s="53" t="n">
        <x:v>26.7</x:v>
      </x:c>
      <x:c r="E184" s="54" t="n">
        <x:v>68</x:v>
      </x:c>
      <x:c r="F184" s="54" t="n">
        <x:v>651</x:v>
      </x:c>
      <x:c r="G184" s="53" t="n">
        <x:v>30.3</x:v>
      </x:c>
      <x:c r="H184" s="55" t="str">
        <x:f>IF(G184&lt;=25,"Boa",IF(G184&lt;=50,"Moderada",IF(G184&lt;=75,"Ruim","Muito Ruim")))</x:f>
        <x:v>Moderada</x:v>
      </x:c>
    </x:row>
    <x:row r="185" ht="20" customHeight="1">
      <x:c r="A185" s="44" t="n">
        <x:v>46250</x:v>
      </x:c>
      <x:c r="B185" s="45" t="str">
        <x:v>Centro</x:v>
      </x:c>
      <x:c r="C185" s="46" t="n">
        <x:v>6810</x:v>
      </x:c>
      <x:c r="D185" s="47" t="n">
        <x:v>27.3</x:v>
      </x:c>
      <x:c r="E185" s="48" t="n">
        <x:v>70</x:v>
      </x:c>
      <x:c r="F185" s="48" t="n">
        <x:v>638</x:v>
      </x:c>
      <x:c r="G185" s="47" t="n">
        <x:v>29.9</x:v>
      </x:c>
      <x:c r="H185" s="49" t="str">
        <x:f>IF(G185&lt;=25,"Boa",IF(G185&lt;=50,"Moderada",IF(G185&lt;=75,"Ruim","Muito Ruim")))</x:f>
        <x:v>Moderada</x:v>
      </x:c>
    </x:row>
    <x:row r="186" ht="20" customHeight="1">
      <x:c r="A186" s="50" t="n">
        <x:v>46250</x:v>
      </x:c>
      <x:c r="B186" s="51" t="str">
        <x:v>Marginal Tietê</x:v>
      </x:c>
      <x:c r="C186" s="52" t="n">
        <x:v>8454</x:v>
      </x:c>
      <x:c r="D186" s="53" t="n">
        <x:v>21.9</x:v>
      </x:c>
      <x:c r="E186" s="54" t="n">
        <x:v>65</x:v>
      </x:c>
      <x:c r="F186" s="54" t="n">
        <x:v>744</x:v>
      </x:c>
      <x:c r="G186" s="53" t="n">
        <x:v>58.5</x:v>
      </x:c>
      <x:c r="H186" s="55" t="str">
        <x:f>IF(G186&lt;=25,"Boa",IF(G186&lt;=50,"Moderada",IF(G186&lt;=75,"Ruim","Muito Ruim")))</x:f>
        <x:v>Ruim</x:v>
      </x:c>
    </x:row>
    <x:row r="187" ht="20" customHeight="1">
      <x:c r="A187" s="44" t="n">
        <x:v>46250</x:v>
      </x:c>
      <x:c r="B187" s="45" t="str">
        <x:v>Paulista</x:v>
      </x:c>
      <x:c r="C187" s="46" t="n">
        <x:v>5971</x:v>
      </x:c>
      <x:c r="D187" s="47" t="n">
        <x:v>22.7</x:v>
      </x:c>
      <x:c r="E187" s="48" t="n">
        <x:v>81</x:v>
      </x:c>
      <x:c r="F187" s="48" t="n">
        <x:v>646</x:v>
      </x:c>
      <x:c r="G187" s="47" t="n">
        <x:v>36.4</x:v>
      </x:c>
      <x:c r="H187" s="49" t="str">
        <x:f>IF(G187&lt;=25,"Boa",IF(G187&lt;=50,"Moderada",IF(G187&lt;=75,"Ruim","Muito Ruim")))</x:f>
        <x:v>Moderada</x:v>
      </x:c>
    </x:row>
    <x:row r="188" ht="20" customHeight="1">
      <x:c r="A188" s="50" t="n">
        <x:v>46250</x:v>
      </x:c>
      <x:c r="B188" s="51" t="str">
        <x:v>Pinheiros</x:v>
      </x:c>
      <x:c r="C188" s="52" t="n">
        <x:v>4697</x:v>
      </x:c>
      <x:c r="D188" s="53" t="n">
        <x:v>19.4</x:v>
      </x:c>
      <x:c r="E188" s="54" t="n">
        <x:v>67</x:v>
      </x:c>
      <x:c r="F188" s="54" t="n">
        <x:v>606</x:v>
      </x:c>
      <x:c r="G188" s="53" t="n">
        <x:v>30.7</x:v>
      </x:c>
      <x:c r="H188" s="55" t="str">
        <x:f>IF(G188&lt;=25,"Boa",IF(G188&lt;=50,"Moderada",IF(G188&lt;=75,"Ruim","Muito Ruim")))</x:f>
        <x:v>Moderada</x:v>
      </x:c>
    </x:row>
    <x:row r="189" ht="20" customHeight="1">
      <x:c r="A189" s="44" t="n">
        <x:v>46250</x:v>
      </x:c>
      <x:c r="B189" s="45" t="str">
        <x:v>Zona Sul (Ibirapuera)</x:v>
      </x:c>
      <x:c r="C189" s="46" t="n">
        <x:v>3665</x:v>
      </x:c>
      <x:c r="D189" s="47" t="n">
        <x:v>25.2</x:v>
      </x:c>
      <x:c r="E189" s="48" t="n">
        <x:v>79</x:v>
      </x:c>
      <x:c r="F189" s="48" t="n">
        <x:v>536</x:v>
      </x:c>
      <x:c r="G189" s="47" t="n">
        <x:v>25.4</x:v>
      </x:c>
      <x:c r="H189" s="49" t="str">
        <x:f>IF(G189&lt;=25,"Boa",IF(G189&lt;=50,"Moderada",IF(G189&lt;=75,"Ruim","Muito Ruim")))</x:f>
        <x:v>Moderada</x:v>
      </x:c>
    </x:row>
    <x:row r="190" ht="20" customHeight="1">
      <x:c r="A190" s="50" t="n">
        <x:v>46250</x:v>
      </x:c>
      <x:c r="B190" s="51" t="str">
        <x:v>Vila Mariana</x:v>
      </x:c>
      <x:c r="C190" s="52" t="n">
        <x:v>6584</x:v>
      </x:c>
      <x:c r="D190" s="53" t="n">
        <x:v>23.1</x:v>
      </x:c>
      <x:c r="E190" s="54" t="n">
        <x:v>71</x:v>
      </x:c>
      <x:c r="F190" s="54" t="n">
        <x:v>666</x:v>
      </x:c>
      <x:c r="G190" s="53" t="n">
        <x:v>31.6</x:v>
      </x:c>
      <x:c r="H190" s="55" t="str">
        <x:f>IF(G190&lt;=25,"Boa",IF(G190&lt;=50,"Moderada",IF(G190&lt;=75,"Ruim","Muito Ruim")))</x:f>
        <x:v>Moderada</x:v>
      </x:c>
    </x:row>
    <x:row r="191" ht="20" customHeight="1">
      <x:c r="A191" s="44" t="n">
        <x:v>46250</x:v>
      </x:c>
      <x:c r="B191" s="45" t="str">
        <x:v>Santana</x:v>
      </x:c>
      <x:c r="C191" s="46" t="n">
        <x:v>5121</x:v>
      </x:c>
      <x:c r="D191" s="47" t="n">
        <x:v>21.2</x:v>
      </x:c>
      <x:c r="E191" s="48" t="n">
        <x:v>76</x:v>
      </x:c>
      <x:c r="F191" s="48" t="n">
        <x:v>644</x:v>
      </x:c>
      <x:c r="G191" s="47" t="n">
        <x:v>27.3</x:v>
      </x:c>
      <x:c r="H191" s="49" t="str">
        <x:f>IF(G191&lt;=25,"Boa",IF(G191&lt;=50,"Moderada",IF(G191&lt;=75,"Ruim","Muito Ruim")))</x:f>
        <x:v>Moderada</x:v>
      </x:c>
    </x:row>
    <x:row r="192" ht="20" customHeight="1">
      <x:c r="A192" s="50" t="n">
        <x:v>46250</x:v>
      </x:c>
      <x:c r="B192" s="51" t="str">
        <x:v>Lapa</x:v>
      </x:c>
      <x:c r="C192" s="52" t="n">
        <x:v>5515</x:v>
      </x:c>
      <x:c r="D192" s="53" t="n">
        <x:v>21.8</x:v>
      </x:c>
      <x:c r="E192" s="54" t="n">
        <x:v>72</x:v>
      </x:c>
      <x:c r="F192" s="54" t="n">
        <x:v>588</x:v>
      </x:c>
      <x:c r="G192" s="53" t="n">
        <x:v>31.9</x:v>
      </x:c>
      <x:c r="H192" s="55" t="str">
        <x:f>IF(G192&lt;=25,"Boa",IF(G192&lt;=50,"Moderada",IF(G192&lt;=75,"Ruim","Muito Ruim")))</x:f>
        <x:v>Moderada</x:v>
      </x:c>
    </x:row>
    <x:row r="193" ht="20" customHeight="1">
      <x:c r="A193" s="44" t="n">
        <x:v>46250</x:v>
      </x:c>
      <x:c r="B193" s="45" t="str">
        <x:v>Moema</x:v>
      </x:c>
      <x:c r="C193" s="46" t="n">
        <x:v>4228</x:v>
      </x:c>
      <x:c r="D193" s="47" t="n">
        <x:v>27.6</x:v>
      </x:c>
      <x:c r="E193" s="48" t="n">
        <x:v>80</x:v>
      </x:c>
      <x:c r="F193" s="48" t="n">
        <x:v>581</x:v>
      </x:c>
      <x:c r="G193" s="47" t="n">
        <x:v>27.4</x:v>
      </x:c>
      <x:c r="H193" s="49" t="str">
        <x:f>IF(G193&lt;=25,"Boa",IF(G193&lt;=50,"Moderada",IF(G193&lt;=75,"Ruim","Muito Ruim")))</x:f>
        <x:v>Moderada</x:v>
      </x:c>
    </x:row>
    <x:row r="194" ht="20" customHeight="1">
      <x:c r="A194" s="50" t="n">
        <x:v>46250</x:v>
      </x:c>
      <x:c r="B194" s="51" t="str">
        <x:v>Santo Amaro</x:v>
      </x:c>
      <x:c r="C194" s="52" t="n">
        <x:v>7439</x:v>
      </x:c>
      <x:c r="D194" s="53" t="n">
        <x:v>25.5</x:v>
      </x:c>
      <x:c r="E194" s="54" t="n">
        <x:v>71</x:v>
      </x:c>
      <x:c r="F194" s="54" t="n">
        <x:v>708</x:v>
      </x:c>
      <x:c r="G194" s="53" t="n">
        <x:v>44.3</x:v>
      </x:c>
      <x:c r="H194" s="55" t="str">
        <x:f>IF(G194&lt;=25,"Boa",IF(G194&lt;=50,"Moderada",IF(G194&lt;=75,"Ruim","Muito Ruim")))</x:f>
        <x:v>Moderada</x:v>
      </x:c>
    </x:row>
    <x:row r="195" ht="20" customHeight="1">
      <x:c r="A195" s="44" t="n">
        <x:v>46250</x:v>
      </x:c>
      <x:c r="B195" s="45" t="str">
        <x:v>Itaquera</x:v>
      </x:c>
      <x:c r="C195" s="46" t="n">
        <x:v>5819</x:v>
      </x:c>
      <x:c r="D195" s="47" t="n">
        <x:v>23.2</x:v>
      </x:c>
      <x:c r="E195" s="48" t="n">
        <x:v>62</x:v>
      </x:c>
      <x:c r="F195" s="48" t="n">
        <x:v>655</x:v>
      </x:c>
      <x:c r="G195" s="47" t="n">
        <x:v>49.4</x:v>
      </x:c>
      <x:c r="H195" s="49" t="str">
        <x:f>IF(G195&lt;=25,"Boa",IF(G195&lt;=50,"Moderada",IF(G195&lt;=75,"Ruim","Muito Ruim")))</x:f>
        <x:v>Moderada</x:v>
      </x:c>
    </x:row>
    <x:row r="196" ht="20" customHeight="1">
      <x:c r="A196" s="50" t="n">
        <x:v>46250</x:v>
      </x:c>
      <x:c r="B196" s="51" t="str">
        <x:v>São Mateus</x:v>
      </x:c>
      <x:c r="C196" s="52" t="n">
        <x:v>6278</x:v>
      </x:c>
      <x:c r="D196" s="53" t="n">
        <x:v>21.5</x:v>
      </x:c>
      <x:c r="E196" s="54" t="n">
        <x:v>77</x:v>
      </x:c>
      <x:c r="F196" s="54" t="n">
        <x:v>692</x:v>
      </x:c>
      <x:c r="G196" s="53" t="n">
        <x:v>41.6</x:v>
      </x:c>
      <x:c r="H196" s="55" t="str">
        <x:f>IF(G196&lt;=25,"Boa",IF(G196&lt;=50,"Moderada",IF(G196&lt;=75,"Ruim","Muito Ruim")))</x:f>
        <x:v>Moderada</x:v>
      </x:c>
    </x:row>
    <x:row r="197" ht="20" customHeight="1">
      <x:c r="A197" s="44" t="n">
        <x:v>46251</x:v>
      </x:c>
      <x:c r="B197" s="45" t="str">
        <x:v>Centro</x:v>
      </x:c>
      <x:c r="C197" s="46" t="n">
        <x:v>5156</x:v>
      </x:c>
      <x:c r="D197" s="47" t="n">
        <x:v>19.9</x:v>
      </x:c>
      <x:c r="E197" s="48" t="n">
        <x:v>69</x:v>
      </x:c>
      <x:c r="F197" s="48" t="n">
        <x:v>581</x:v>
      </x:c>
      <x:c r="G197" s="47" t="n">
        <x:v>38.9</x:v>
      </x:c>
      <x:c r="H197" s="49" t="str">
        <x:f>IF(G197&lt;=25,"Boa",IF(G197&lt;=50,"Moderada",IF(G197&lt;=75,"Ruim","Muito Ruim")))</x:f>
        <x:v>Moderada</x:v>
      </x:c>
    </x:row>
    <x:row r="198" ht="20" customHeight="1">
      <x:c r="A198" s="50" t="n">
        <x:v>46251</x:v>
      </x:c>
      <x:c r="B198" s="51" t="str">
        <x:v>Marginal Tietê</x:v>
      </x:c>
      <x:c r="C198" s="52" t="n">
        <x:v>8654</x:v>
      </x:c>
      <x:c r="D198" s="53" t="n">
        <x:v>27.7</x:v>
      </x:c>
      <x:c r="E198" s="54" t="n">
        <x:v>74</x:v>
      </x:c>
      <x:c r="F198" s="54" t="n">
        <x:v>773</x:v>
      </x:c>
      <x:c r="G198" s="53" t="n">
        <x:v>58.5</x:v>
      </x:c>
      <x:c r="H198" s="55" t="str">
        <x:f>IF(G198&lt;=25,"Boa",IF(G198&lt;=50,"Moderada",IF(G198&lt;=75,"Ruim","Muito Ruim")))</x:f>
        <x:v>Ruim</x:v>
      </x:c>
    </x:row>
    <x:row r="199" ht="20" customHeight="1">
      <x:c r="A199" s="44" t="n">
        <x:v>46251</x:v>
      </x:c>
      <x:c r="B199" s="45" t="str">
        <x:v>Paulista</x:v>
      </x:c>
      <x:c r="C199" s="46" t="n">
        <x:v>5451</x:v>
      </x:c>
      <x:c r="D199" s="47" t="n">
        <x:v>26.9</x:v>
      </x:c>
      <x:c r="E199" s="48" t="n">
        <x:v>66</x:v>
      </x:c>
      <x:c r="F199" s="48" t="n">
        <x:v>614</x:v>
      </x:c>
      <x:c r="G199" s="47" t="n">
        <x:v>31.1</x:v>
      </x:c>
      <x:c r="H199" s="49" t="str">
        <x:f>IF(G199&lt;=25,"Boa",IF(G199&lt;=50,"Moderada",IF(G199&lt;=75,"Ruim","Muito Ruim")))</x:f>
        <x:v>Moderada</x:v>
      </x:c>
    </x:row>
    <x:row r="200" ht="20" customHeight="1">
      <x:c r="A200" s="50" t="n">
        <x:v>46251</x:v>
      </x:c>
      <x:c r="B200" s="51" t="str">
        <x:v>Pinheiros</x:v>
      </x:c>
      <x:c r="C200" s="52" t="n">
        <x:v>5742</x:v>
      </x:c>
      <x:c r="D200" s="53" t="n">
        <x:v>24.9</x:v>
      </x:c>
      <x:c r="E200" s="54" t="n">
        <x:v>70</x:v>
      </x:c>
      <x:c r="F200" s="54" t="n">
        <x:v>618</x:v>
      </x:c>
      <x:c r="G200" s="53" t="n">
        <x:v>37.7</x:v>
      </x:c>
      <x:c r="H200" s="55" t="str">
        <x:f>IF(G200&lt;=25,"Boa",IF(G200&lt;=50,"Moderada",IF(G200&lt;=75,"Ruim","Muito Ruim")))</x:f>
        <x:v>Moderada</x:v>
      </x:c>
    </x:row>
    <x:row r="201" ht="20" customHeight="1">
      <x:c r="A201" s="44" t="n">
        <x:v>46251</x:v>
      </x:c>
      <x:c r="B201" s="45" t="str">
        <x:v>Zona Sul (Ibirapuera)</x:v>
      </x:c>
      <x:c r="C201" s="46" t="n">
        <x:v>5606</x:v>
      </x:c>
      <x:c r="D201" s="47" t="n">
        <x:v>27.7</x:v>
      </x:c>
      <x:c r="E201" s="48" t="n">
        <x:v>65</x:v>
      </x:c>
      <x:c r="F201" s="48" t="n">
        <x:v>584</x:v>
      </x:c>
      <x:c r="G201" s="47" t="n">
        <x:v>36.2</x:v>
      </x:c>
      <x:c r="H201" s="49" t="str">
        <x:f>IF(G201&lt;=25,"Boa",IF(G201&lt;=50,"Moderada",IF(G201&lt;=75,"Ruim","Muito Ruim")))</x:f>
        <x:v>Moderada</x:v>
      </x:c>
    </x:row>
    <x:row r="202" ht="20" customHeight="1">
      <x:c r="A202" s="50" t="n">
        <x:v>46251</x:v>
      </x:c>
      <x:c r="B202" s="51" t="str">
        <x:v>Vila Mariana</x:v>
      </x:c>
      <x:c r="C202" s="52" t="n">
        <x:v>6769</x:v>
      </x:c>
      <x:c r="D202" s="53" t="n">
        <x:v>27.2</x:v>
      </x:c>
      <x:c r="E202" s="54" t="n">
        <x:v>67</x:v>
      </x:c>
      <x:c r="F202" s="54" t="n">
        <x:v>612</x:v>
      </x:c>
      <x:c r="G202" s="53" t="n">
        <x:v>44.2</x:v>
      </x:c>
      <x:c r="H202" s="55" t="str">
        <x:f>IF(G202&lt;=25,"Boa",IF(G202&lt;=50,"Moderada",IF(G202&lt;=75,"Ruim","Muito Ruim")))</x:f>
        <x:v>Moderada</x:v>
      </x:c>
    </x:row>
    <x:row r="203" ht="20" customHeight="1">
      <x:c r="A203" s="44" t="n">
        <x:v>46251</x:v>
      </x:c>
      <x:c r="B203" s="45" t="str">
        <x:v>Santana</x:v>
      </x:c>
      <x:c r="C203" s="46" t="n">
        <x:v>5677</x:v>
      </x:c>
      <x:c r="D203" s="47" t="n">
        <x:v>25</x:v>
      </x:c>
      <x:c r="E203" s="48" t="n">
        <x:v>62</x:v>
      </x:c>
      <x:c r="F203" s="48" t="n">
        <x:v>646</x:v>
      </x:c>
      <x:c r="G203" s="47" t="n">
        <x:v>34.2</x:v>
      </x:c>
      <x:c r="H203" s="49" t="str">
        <x:f>IF(G203&lt;=25,"Boa",IF(G203&lt;=50,"Moderada",IF(G203&lt;=75,"Ruim","Muito Ruim")))</x:f>
        <x:v>Moderada</x:v>
      </x:c>
    </x:row>
    <x:row r="204" ht="20" customHeight="1">
      <x:c r="A204" s="50" t="n">
        <x:v>46251</x:v>
      </x:c>
      <x:c r="B204" s="51" t="str">
        <x:v>Lapa</x:v>
      </x:c>
      <x:c r="C204" s="52" t="n">
        <x:v>6220</x:v>
      </x:c>
      <x:c r="D204" s="53" t="n">
        <x:v>24.1</x:v>
      </x:c>
      <x:c r="E204" s="54" t="n">
        <x:v>79</x:v>
      </x:c>
      <x:c r="F204" s="54" t="n">
        <x:v>601</x:v>
      </x:c>
      <x:c r="G204" s="53" t="n">
        <x:v>30.9</x:v>
      </x:c>
      <x:c r="H204" s="55" t="str">
        <x:f>IF(G204&lt;=25,"Boa",IF(G204&lt;=50,"Moderada",IF(G204&lt;=75,"Ruim","Muito Ruim")))</x:f>
        <x:v>Moderada</x:v>
      </x:c>
    </x:row>
    <x:row r="205" ht="20" customHeight="1">
      <x:c r="A205" s="44" t="n">
        <x:v>46251</x:v>
      </x:c>
      <x:c r="B205" s="45" t="str">
        <x:v>Moema</x:v>
      </x:c>
      <x:c r="C205" s="46" t="n">
        <x:v>4293</x:v>
      </x:c>
      <x:c r="D205" s="47" t="n">
        <x:v>19.8</x:v>
      </x:c>
      <x:c r="E205" s="48" t="n">
        <x:v>81</x:v>
      </x:c>
      <x:c r="F205" s="48" t="n">
        <x:v>527</x:v>
      </x:c>
      <x:c r="G205" s="47" t="n">
        <x:v>34.7</x:v>
      </x:c>
      <x:c r="H205" s="49" t="str">
        <x:f>IF(G205&lt;=25,"Boa",IF(G205&lt;=50,"Moderada",IF(G205&lt;=75,"Ruim","Muito Ruim")))</x:f>
        <x:v>Moderada</x:v>
      </x:c>
    </x:row>
    <x:row r="206" ht="20" customHeight="1">
      <x:c r="A206" s="50" t="n">
        <x:v>46251</x:v>
      </x:c>
      <x:c r="B206" s="51" t="str">
        <x:v>Santo Amaro</x:v>
      </x:c>
      <x:c r="C206" s="52" t="n">
        <x:v>7597</x:v>
      </x:c>
      <x:c r="D206" s="53" t="n">
        <x:v>20.2</x:v>
      </x:c>
      <x:c r="E206" s="54" t="n">
        <x:v>81</x:v>
      </x:c>
      <x:c r="F206" s="54" t="n">
        <x:v>687</x:v>
      </x:c>
      <x:c r="G206" s="53" t="n">
        <x:v>43.1</x:v>
      </x:c>
      <x:c r="H206" s="55" t="str">
        <x:f>IF(G206&lt;=25,"Boa",IF(G206&lt;=50,"Moderada",IF(G206&lt;=75,"Ruim","Muito Ruim")))</x:f>
        <x:v>Moderada</x:v>
      </x:c>
    </x:row>
    <x:row r="207" ht="20" customHeight="1">
      <x:c r="A207" s="44" t="n">
        <x:v>46251</x:v>
      </x:c>
      <x:c r="B207" s="45" t="str">
        <x:v>Itaquera</x:v>
      </x:c>
      <x:c r="C207" s="46" t="n">
        <x:v>7547</x:v>
      </x:c>
      <x:c r="D207" s="47" t="n">
        <x:v>27.9</x:v>
      </x:c>
      <x:c r="E207" s="48" t="n">
        <x:v>66</x:v>
      </x:c>
      <x:c r="F207" s="48" t="n">
        <x:v>668</x:v>
      </x:c>
      <x:c r="G207" s="47" t="n">
        <x:v>49.8</x:v>
      </x:c>
      <x:c r="H207" s="49" t="str">
        <x:f>IF(G207&lt;=25,"Boa",IF(G207&lt;=50,"Moderada",IF(G207&lt;=75,"Ruim","Muito Ruim")))</x:f>
        <x:v>Moderada</x:v>
      </x:c>
    </x:row>
    <x:row r="208" ht="20" customHeight="1">
      <x:c r="A208" s="50" t="n">
        <x:v>46251</x:v>
      </x:c>
      <x:c r="B208" s="51" t="str">
        <x:v>São Mateus</x:v>
      </x:c>
      <x:c r="C208" s="52" t="n">
        <x:v>4676</x:v>
      </x:c>
      <x:c r="D208" s="53" t="n">
        <x:v>21.5</x:v>
      </x:c>
      <x:c r="E208" s="54" t="n">
        <x:v>81</x:v>
      </x:c>
      <x:c r="F208" s="54" t="n">
        <x:v>595</x:v>
      </x:c>
      <x:c r="G208" s="53" t="n">
        <x:v>28.4</x:v>
      </x:c>
      <x:c r="H208" s="55" t="str">
        <x:f>IF(G208&lt;=25,"Boa",IF(G208&lt;=50,"Moderada",IF(G208&lt;=75,"Ruim","Muito Ruim")))</x:f>
        <x:v>Moderada</x:v>
      </x:c>
    </x:row>
    <x:row r="209" ht="20" customHeight="1">
      <x:c r="A209" s="44" t="n">
        <x:v>46252</x:v>
      </x:c>
      <x:c r="B209" s="45" t="str">
        <x:v>Centro</x:v>
      </x:c>
      <x:c r="C209" s="46" t="n">
        <x:v>5540</x:v>
      </x:c>
      <x:c r="D209" s="47" t="n">
        <x:v>22.3</x:v>
      </x:c>
      <x:c r="E209" s="48" t="n">
        <x:v>69</x:v>
      </x:c>
      <x:c r="F209" s="48" t="n">
        <x:v>622</x:v>
      </x:c>
      <x:c r="G209" s="47" t="n">
        <x:v>36.9</x:v>
      </x:c>
      <x:c r="H209" s="49" t="str">
        <x:f>IF(G209&lt;=25,"Boa",IF(G209&lt;=50,"Moderada",IF(G209&lt;=75,"Ruim","Muito Ruim")))</x:f>
        <x:v>Moderada</x:v>
      </x:c>
    </x:row>
    <x:row r="210" ht="20" customHeight="1">
      <x:c r="A210" s="50" t="n">
        <x:v>46252</x:v>
      </x:c>
      <x:c r="B210" s="51" t="str">
        <x:v>Marginal Tietê</x:v>
      </x:c>
      <x:c r="C210" s="52" t="n">
        <x:v>7228</x:v>
      </x:c>
      <x:c r="D210" s="53" t="n">
        <x:v>20.3</x:v>
      </x:c>
      <x:c r="E210" s="54" t="n">
        <x:v>84</x:v>
      </x:c>
      <x:c r="F210" s="54" t="n">
        <x:v>749</x:v>
      </x:c>
      <x:c r="G210" s="53" t="n">
        <x:v>56.5</x:v>
      </x:c>
      <x:c r="H210" s="55" t="str">
        <x:f>IF(G210&lt;=25,"Boa",IF(G210&lt;=50,"Moderada",IF(G210&lt;=75,"Ruim","Muito Ruim")))</x:f>
        <x:v>Ruim</x:v>
      </x:c>
    </x:row>
    <x:row r="211" ht="20" customHeight="1">
      <x:c r="A211" s="44" t="n">
        <x:v>46252</x:v>
      </x:c>
      <x:c r="B211" s="45" t="str">
        <x:v>Paulista</x:v>
      </x:c>
      <x:c r="C211" s="46" t="n">
        <x:v>7241</x:v>
      </x:c>
      <x:c r="D211" s="47" t="n">
        <x:v>23.3</x:v>
      </x:c>
      <x:c r="E211" s="48" t="n">
        <x:v>65</x:v>
      </x:c>
      <x:c r="F211" s="48" t="n">
        <x:v>640</x:v>
      </x:c>
      <x:c r="G211" s="47" t="n">
        <x:v>46.6</x:v>
      </x:c>
      <x:c r="H211" s="49" t="str">
        <x:f>IF(G211&lt;=25,"Boa",IF(G211&lt;=50,"Moderada",IF(G211&lt;=75,"Ruim","Muito Ruim")))</x:f>
        <x:v>Moderada</x:v>
      </x:c>
    </x:row>
    <x:row r="212" ht="20" customHeight="1">
      <x:c r="A212" s="50" t="n">
        <x:v>46252</x:v>
      </x:c>
      <x:c r="B212" s="51" t="str">
        <x:v>Pinheiros</x:v>
      </x:c>
      <x:c r="C212" s="52" t="n">
        <x:v>4532</x:v>
      </x:c>
      <x:c r="D212" s="53" t="n">
        <x:v>26.4</x:v>
      </x:c>
      <x:c r="E212" s="54" t="n">
        <x:v>73</x:v>
      </x:c>
      <x:c r="F212" s="54" t="n">
        <x:v>555</x:v>
      </x:c>
      <x:c r="G212" s="53" t="n">
        <x:v>27.2</x:v>
      </x:c>
      <x:c r="H212" s="55" t="str">
        <x:f>IF(G212&lt;=25,"Boa",IF(G212&lt;=50,"Moderada",IF(G212&lt;=75,"Ruim","Muito Ruim")))</x:f>
        <x:v>Moderada</x:v>
      </x:c>
    </x:row>
    <x:row r="213" ht="20" customHeight="1">
      <x:c r="A213" s="44" t="n">
        <x:v>46252</x:v>
      </x:c>
      <x:c r="B213" s="45" t="str">
        <x:v>Zona Sul (Ibirapuera)</x:v>
      </x:c>
      <x:c r="C213" s="46" t="n">
        <x:v>3752</x:v>
      </x:c>
      <x:c r="D213" s="47" t="n">
        <x:v>18.8</x:v>
      </x:c>
      <x:c r="E213" s="48" t="n">
        <x:v>79</x:v>
      </x:c>
      <x:c r="F213" s="48" t="n">
        <x:v>545</x:v>
      </x:c>
      <x:c r="G213" s="47" t="n">
        <x:v>19.5</x:v>
      </x:c>
      <x:c r="H213" s="49" t="str">
        <x:f>IF(G213&lt;=25,"Boa",IF(G213&lt;=50,"Moderada",IF(G213&lt;=75,"Ruim","Muito Ruim")))</x:f>
        <x:v>Boa</x:v>
      </x:c>
    </x:row>
    <x:row r="214" ht="20" customHeight="1">
      <x:c r="A214" s="50" t="n">
        <x:v>46252</x:v>
      </x:c>
      <x:c r="B214" s="51" t="str">
        <x:v>Vila Mariana</x:v>
      </x:c>
      <x:c r="C214" s="52" t="n">
        <x:v>4634</x:v>
      </x:c>
      <x:c r="D214" s="53" t="n">
        <x:v>22.9</x:v>
      </x:c>
      <x:c r="E214" s="54" t="n">
        <x:v>80</x:v>
      </x:c>
      <x:c r="F214" s="54" t="n">
        <x:v>619</x:v>
      </x:c>
      <x:c r="G214" s="53" t="n">
        <x:v>39.9</x:v>
      </x:c>
      <x:c r="H214" s="55" t="str">
        <x:f>IF(G214&lt;=25,"Boa",IF(G214&lt;=50,"Moderada",IF(G214&lt;=75,"Ruim","Muito Ruim")))</x:f>
        <x:v>Moderada</x:v>
      </x:c>
    </x:row>
    <x:row r="215" ht="20" customHeight="1">
      <x:c r="A215" s="44" t="n">
        <x:v>46252</x:v>
      </x:c>
      <x:c r="B215" s="45" t="str">
        <x:v>Santana</x:v>
      </x:c>
      <x:c r="C215" s="46" t="n">
        <x:v>5580</x:v>
      </x:c>
      <x:c r="D215" s="47" t="n">
        <x:v>22.3</x:v>
      </x:c>
      <x:c r="E215" s="48" t="n">
        <x:v>78</x:v>
      </x:c>
      <x:c r="F215" s="48" t="n">
        <x:v>661</x:v>
      </x:c>
      <x:c r="G215" s="47" t="n">
        <x:v>45.8</x:v>
      </x:c>
      <x:c r="H215" s="49" t="str">
        <x:f>IF(G215&lt;=25,"Boa",IF(G215&lt;=50,"Moderada",IF(G215&lt;=75,"Ruim","Muito Ruim")))</x:f>
        <x:v>Moderada</x:v>
      </x:c>
    </x:row>
    <x:row r="216" ht="20" customHeight="1">
      <x:c r="A216" s="50" t="n">
        <x:v>46252</x:v>
      </x:c>
      <x:c r="B216" s="51" t="str">
        <x:v>Lapa</x:v>
      </x:c>
      <x:c r="C216" s="52" t="n">
        <x:v>5241</x:v>
      </x:c>
      <x:c r="D216" s="53" t="n">
        <x:v>18.1</x:v>
      </x:c>
      <x:c r="E216" s="54" t="n">
        <x:v>73</x:v>
      </x:c>
      <x:c r="F216" s="54" t="n">
        <x:v>600</x:v>
      </x:c>
      <x:c r="G216" s="53" t="n">
        <x:v>39</x:v>
      </x:c>
      <x:c r="H216" s="55" t="str">
        <x:f>IF(G216&lt;=25,"Boa",IF(G216&lt;=50,"Moderada",IF(G216&lt;=75,"Ruim","Muito Ruim")))</x:f>
        <x:v>Moderada</x:v>
      </x:c>
    </x:row>
    <x:row r="217" ht="20" customHeight="1">
      <x:c r="A217" s="44" t="n">
        <x:v>46252</x:v>
      </x:c>
      <x:c r="B217" s="45" t="str">
        <x:v>Moema</x:v>
      </x:c>
      <x:c r="C217" s="46" t="n">
        <x:v>3822</x:v>
      </x:c>
      <x:c r="D217" s="47" t="n">
        <x:v>26.1</x:v>
      </x:c>
      <x:c r="E217" s="48" t="n">
        <x:v>83</x:v>
      </x:c>
      <x:c r="F217" s="48" t="n">
        <x:v>558</x:v>
      </x:c>
      <x:c r="G217" s="47" t="n">
        <x:v>22.6</x:v>
      </x:c>
      <x:c r="H217" s="49" t="str">
        <x:f>IF(G217&lt;=25,"Boa",IF(G217&lt;=50,"Moderada",IF(G217&lt;=75,"Ruim","Muito Ruim")))</x:f>
        <x:v>Boa</x:v>
      </x:c>
    </x:row>
    <x:row r="218" ht="20" customHeight="1">
      <x:c r="A218" s="50" t="n">
        <x:v>46252</x:v>
      </x:c>
      <x:c r="B218" s="51" t="str">
        <x:v>Santo Amaro</x:v>
      </x:c>
      <x:c r="C218" s="52" t="n">
        <x:v>6564</x:v>
      </x:c>
      <x:c r="D218" s="53" t="n">
        <x:v>25.7</x:v>
      </x:c>
      <x:c r="E218" s="54" t="n">
        <x:v>73</x:v>
      </x:c>
      <x:c r="F218" s="54" t="n">
        <x:v>700</x:v>
      </x:c>
      <x:c r="G218" s="53" t="n">
        <x:v>46.9</x:v>
      </x:c>
      <x:c r="H218" s="55" t="str">
        <x:f>IF(G218&lt;=25,"Boa",IF(G218&lt;=50,"Moderada",IF(G218&lt;=75,"Ruim","Muito Ruim")))</x:f>
        <x:v>Moderada</x:v>
      </x:c>
    </x:row>
    <x:row r="219" ht="20" customHeight="1">
      <x:c r="A219" s="44" t="n">
        <x:v>46252</x:v>
      </x:c>
      <x:c r="B219" s="45" t="str">
        <x:v>Itaquera</x:v>
      </x:c>
      <x:c r="C219" s="46" t="n">
        <x:v>7385</x:v>
      </x:c>
      <x:c r="D219" s="47" t="n">
        <x:v>19.6</x:v>
      </x:c>
      <x:c r="E219" s="48" t="n">
        <x:v>78</x:v>
      </x:c>
      <x:c r="F219" s="48" t="n">
        <x:v>671</x:v>
      </x:c>
      <x:c r="G219" s="47" t="n">
        <x:v>49.7</x:v>
      </x:c>
      <x:c r="H219" s="49" t="str">
        <x:f>IF(G219&lt;=25,"Boa",IF(G219&lt;=50,"Moderada",IF(G219&lt;=75,"Ruim","Muito Ruim")))</x:f>
        <x:v>Moderada</x:v>
      </x:c>
    </x:row>
    <x:row r="220" ht="20" customHeight="1">
      <x:c r="A220" s="50" t="n">
        <x:v>46252</x:v>
      </x:c>
      <x:c r="B220" s="51" t="str">
        <x:v>São Mateus</x:v>
      </x:c>
      <x:c r="C220" s="52" t="n">
        <x:v>4954</x:v>
      </x:c>
      <x:c r="D220" s="53" t="n">
        <x:v>25.3</x:v>
      </x:c>
      <x:c r="E220" s="54" t="n">
        <x:v>64</x:v>
      </x:c>
      <x:c r="F220" s="54" t="n">
        <x:v>558</x:v>
      </x:c>
      <x:c r="G220" s="53" t="n">
        <x:v>33.5</x:v>
      </x:c>
      <x:c r="H220" s="55" t="str">
        <x:f>IF(G220&lt;=25,"Boa",IF(G220&lt;=50,"Moderada",IF(G220&lt;=75,"Ruim","Muito Ruim")))</x:f>
        <x:v>Moderada</x:v>
      </x:c>
    </x:row>
    <x:row r="221" ht="20" customHeight="1">
      <x:c r="A221" s="44" t="n">
        <x:v>46253</x:v>
      </x:c>
      <x:c r="B221" s="45" t="str">
        <x:v>Centro</x:v>
      </x:c>
      <x:c r="C221" s="46" t="n">
        <x:v>6748</x:v>
      </x:c>
      <x:c r="D221" s="47" t="n">
        <x:v>20.8</x:v>
      </x:c>
      <x:c r="E221" s="48" t="n">
        <x:v>85</x:v>
      </x:c>
      <x:c r="F221" s="48" t="n">
        <x:v>641</x:v>
      </x:c>
      <x:c r="G221" s="47" t="n">
        <x:v>30.2</x:v>
      </x:c>
      <x:c r="H221" s="49" t="str">
        <x:f>IF(G221&lt;=25,"Boa",IF(G221&lt;=50,"Moderada",IF(G221&lt;=75,"Ruim","Muito Ruim")))</x:f>
        <x:v>Moderada</x:v>
      </x:c>
    </x:row>
    <x:row r="222" ht="20" customHeight="1">
      <x:c r="A222" s="50" t="n">
        <x:v>46253</x:v>
      </x:c>
      <x:c r="B222" s="51" t="str">
        <x:v>Marginal Tietê</x:v>
      </x:c>
      <x:c r="C222" s="52" t="n">
        <x:v>7941</x:v>
      </x:c>
      <x:c r="D222" s="53" t="n">
        <x:v>24.5</x:v>
      </x:c>
      <x:c r="E222" s="54" t="n">
        <x:v>67</x:v>
      </x:c>
      <x:c r="F222" s="54" t="n">
        <x:v>705</x:v>
      </x:c>
      <x:c r="G222" s="53" t="n">
        <x:v>42.1</x:v>
      </x:c>
      <x:c r="H222" s="55" t="str">
        <x:f>IF(G222&lt;=25,"Boa",IF(G222&lt;=50,"Moderada",IF(G222&lt;=75,"Ruim","Muito Ruim")))</x:f>
        <x:v>Moderada</x:v>
      </x:c>
    </x:row>
    <x:row r="223" ht="20" customHeight="1">
      <x:c r="A223" s="44" t="n">
        <x:v>46253</x:v>
      </x:c>
      <x:c r="B223" s="45" t="str">
        <x:v>Paulista</x:v>
      </x:c>
      <x:c r="C223" s="46" t="n">
        <x:v>5131</x:v>
      </x:c>
      <x:c r="D223" s="47" t="n">
        <x:v>20.6</x:v>
      </x:c>
      <x:c r="E223" s="48" t="n">
        <x:v>79</x:v>
      </x:c>
      <x:c r="F223" s="48" t="n">
        <x:v>616</x:v>
      </x:c>
      <x:c r="G223" s="47" t="n">
        <x:v>42.7</x:v>
      </x:c>
      <x:c r="H223" s="49" t="str">
        <x:f>IF(G223&lt;=25,"Boa",IF(G223&lt;=50,"Moderada",IF(G223&lt;=75,"Ruim","Muito Ruim")))</x:f>
        <x:v>Moderada</x:v>
      </x:c>
    </x:row>
    <x:row r="224" ht="20" customHeight="1">
      <x:c r="A224" s="50" t="n">
        <x:v>46253</x:v>
      </x:c>
      <x:c r="B224" s="51" t="str">
        <x:v>Pinheiros</x:v>
      </x:c>
      <x:c r="C224" s="52" t="n">
        <x:v>4844</x:v>
      </x:c>
      <x:c r="D224" s="53" t="n">
        <x:v>21.2</x:v>
      </x:c>
      <x:c r="E224" s="54" t="n">
        <x:v>73</x:v>
      </x:c>
      <x:c r="F224" s="54" t="n">
        <x:v>573</x:v>
      </x:c>
      <x:c r="G224" s="53" t="n">
        <x:v>29.9</x:v>
      </x:c>
      <x:c r="H224" s="55" t="str">
        <x:f>IF(G224&lt;=25,"Boa",IF(G224&lt;=50,"Moderada",IF(G224&lt;=75,"Ruim","Muito Ruim")))</x:f>
        <x:v>Moderada</x:v>
      </x:c>
    </x:row>
    <x:row r="225" ht="20" customHeight="1">
      <x:c r="A225" s="44" t="n">
        <x:v>46253</x:v>
      </x:c>
      <x:c r="B225" s="45" t="str">
        <x:v>Zona Sul (Ibirapuera)</x:v>
      </x:c>
      <x:c r="C225" s="46" t="n">
        <x:v>3578</x:v>
      </x:c>
      <x:c r="D225" s="47" t="n">
        <x:v>25.7</x:v>
      </x:c>
      <x:c r="E225" s="48" t="n">
        <x:v>85</x:v>
      </x:c>
      <x:c r="F225" s="48" t="n">
        <x:v>572</x:v>
      </x:c>
      <x:c r="G225" s="47" t="n">
        <x:v>24.2</x:v>
      </x:c>
      <x:c r="H225" s="49" t="str">
        <x:f>IF(G225&lt;=25,"Boa",IF(G225&lt;=50,"Moderada",IF(G225&lt;=75,"Ruim","Muito Ruim")))</x:f>
        <x:v>Boa</x:v>
      </x:c>
    </x:row>
    <x:row r="226" ht="20" customHeight="1">
      <x:c r="A226" s="50" t="n">
        <x:v>46253</x:v>
      </x:c>
      <x:c r="B226" s="51" t="str">
        <x:v>Vila Mariana</x:v>
      </x:c>
      <x:c r="C226" s="52" t="n">
        <x:v>6040</x:v>
      </x:c>
      <x:c r="D226" s="53" t="n">
        <x:v>23</x:v>
      </x:c>
      <x:c r="E226" s="54" t="n">
        <x:v>71</x:v>
      </x:c>
      <x:c r="F226" s="54" t="n">
        <x:v>635</x:v>
      </x:c>
      <x:c r="G226" s="53" t="n">
        <x:v>35.9</x:v>
      </x:c>
      <x:c r="H226" s="55" t="str">
        <x:f>IF(G226&lt;=25,"Boa",IF(G226&lt;=50,"Moderada",IF(G226&lt;=75,"Ruim","Muito Ruim")))</x:f>
        <x:v>Moderada</x:v>
      </x:c>
    </x:row>
    <x:row r="227" ht="20" customHeight="1">
      <x:c r="A227" s="44" t="n">
        <x:v>46253</x:v>
      </x:c>
      <x:c r="B227" s="45" t="str">
        <x:v>Santana</x:v>
      </x:c>
      <x:c r="C227" s="46" t="n">
        <x:v>5614</x:v>
      </x:c>
      <x:c r="D227" s="47" t="n">
        <x:v>17.2</x:v>
      </x:c>
      <x:c r="E227" s="48" t="n">
        <x:v>81</x:v>
      </x:c>
      <x:c r="F227" s="48" t="n">
        <x:v>582</x:v>
      </x:c>
      <x:c r="G227" s="47" t="n">
        <x:v>43.1</x:v>
      </x:c>
      <x:c r="H227" s="49" t="str">
        <x:f>IF(G227&lt;=25,"Boa",IF(G227&lt;=50,"Moderada",IF(G227&lt;=75,"Ruim","Muito Ruim")))</x:f>
        <x:v>Moderada</x:v>
      </x:c>
    </x:row>
    <x:row r="228" ht="20" customHeight="1">
      <x:c r="A228" s="50" t="n">
        <x:v>46253</x:v>
      </x:c>
      <x:c r="B228" s="51" t="str">
        <x:v>Lapa</x:v>
      </x:c>
      <x:c r="C228" s="52" t="n">
        <x:v>6083</x:v>
      </x:c>
      <x:c r="D228" s="53" t="n">
        <x:v>21.3</x:v>
      </x:c>
      <x:c r="E228" s="54" t="n">
        <x:v>80</x:v>
      </x:c>
      <x:c r="F228" s="54" t="n">
        <x:v>578</x:v>
      </x:c>
      <x:c r="G228" s="53" t="n">
        <x:v>45</x:v>
      </x:c>
      <x:c r="H228" s="55" t="str">
        <x:f>IF(G228&lt;=25,"Boa",IF(G228&lt;=50,"Moderada",IF(G228&lt;=75,"Ruim","Muito Ruim")))</x:f>
        <x:v>Moderada</x:v>
      </x:c>
    </x:row>
    <x:row r="229" ht="20" customHeight="1">
      <x:c r="A229" s="44" t="n">
        <x:v>46253</x:v>
      </x:c>
      <x:c r="B229" s="45" t="str">
        <x:v>Moema</x:v>
      </x:c>
      <x:c r="C229" s="46" t="n">
        <x:v>5568</x:v>
      </x:c>
      <x:c r="D229" s="47" t="n">
        <x:v>26.7</x:v>
      </x:c>
      <x:c r="E229" s="48" t="n">
        <x:v>66</x:v>
      </x:c>
      <x:c r="F229" s="48" t="n">
        <x:v>618</x:v>
      </x:c>
      <x:c r="G229" s="47" t="n">
        <x:v>24</x:v>
      </x:c>
      <x:c r="H229" s="49" t="str">
        <x:f>IF(G229&lt;=25,"Boa",IF(G229&lt;=50,"Moderada",IF(G229&lt;=75,"Ruim","Muito Ruim")))</x:f>
        <x:v>Boa</x:v>
      </x:c>
    </x:row>
    <x:row r="230" ht="20" customHeight="1">
      <x:c r="A230" s="50" t="n">
        <x:v>46253</x:v>
      </x:c>
      <x:c r="B230" s="51" t="str">
        <x:v>Santo Amaro</x:v>
      </x:c>
      <x:c r="C230" s="52" t="n">
        <x:v>6162</x:v>
      </x:c>
      <x:c r="D230" s="53" t="n">
        <x:v>22.3</x:v>
      </x:c>
      <x:c r="E230" s="54" t="n">
        <x:v>69</x:v>
      </x:c>
      <x:c r="F230" s="54" t="n">
        <x:v>620</x:v>
      </x:c>
      <x:c r="G230" s="53" t="n">
        <x:v>38.1</x:v>
      </x:c>
      <x:c r="H230" s="55" t="str">
        <x:f>IF(G230&lt;=25,"Boa",IF(G230&lt;=50,"Moderada",IF(G230&lt;=75,"Ruim","Muito Ruim")))</x:f>
        <x:v>Moderada</x:v>
      </x:c>
    </x:row>
    <x:row r="231" ht="20" customHeight="1">
      <x:c r="A231" s="44" t="n">
        <x:v>46253</x:v>
      </x:c>
      <x:c r="B231" s="45" t="str">
        <x:v>Itaquera</x:v>
      </x:c>
      <x:c r="C231" s="46" t="n">
        <x:v>6838</x:v>
      </x:c>
      <x:c r="D231" s="47" t="n">
        <x:v>22</x:v>
      </x:c>
      <x:c r="E231" s="48" t="n">
        <x:v>72</x:v>
      </x:c>
      <x:c r="F231" s="48" t="n">
        <x:v>692</x:v>
      </x:c>
      <x:c r="G231" s="47" t="n">
        <x:v>45.8</x:v>
      </x:c>
      <x:c r="H231" s="49" t="str">
        <x:f>IF(G231&lt;=25,"Boa",IF(G231&lt;=50,"Moderada",IF(G231&lt;=75,"Ruim","Muito Ruim")))</x:f>
        <x:v>Moderada</x:v>
      </x:c>
    </x:row>
    <x:row r="232" ht="20" customHeight="1">
      <x:c r="A232" s="50" t="n">
        <x:v>46253</x:v>
      </x:c>
      <x:c r="B232" s="51" t="str">
        <x:v>São Mateus</x:v>
      </x:c>
      <x:c r="C232" s="52" t="n">
        <x:v>5782</x:v>
      </x:c>
      <x:c r="D232" s="53" t="n">
        <x:v>21.6</x:v>
      </x:c>
      <x:c r="E232" s="54" t="n">
        <x:v>71</x:v>
      </x:c>
      <x:c r="F232" s="54" t="n">
        <x:v>667</x:v>
      </x:c>
      <x:c r="G232" s="53" t="n">
        <x:v>33.8</x:v>
      </x:c>
      <x:c r="H232" s="55" t="str">
        <x:f>IF(G232&lt;=25,"Boa",IF(G232&lt;=50,"Moderada",IF(G232&lt;=75,"Ruim","Muito Ruim")))</x:f>
        <x:v>Moderada</x:v>
      </x:c>
    </x:row>
    <x:row r="233" ht="20" customHeight="1">
      <x:c r="A233" s="44" t="n">
        <x:v>46254</x:v>
      </x:c>
      <x:c r="B233" s="45" t="str">
        <x:v>Centro</x:v>
      </x:c>
      <x:c r="C233" s="46" t="n">
        <x:v>6825</x:v>
      </x:c>
      <x:c r="D233" s="47" t="n">
        <x:v>23.8</x:v>
      </x:c>
      <x:c r="E233" s="48" t="n">
        <x:v>68</x:v>
      </x:c>
      <x:c r="F233" s="48" t="n">
        <x:v>669</x:v>
      </x:c>
      <x:c r="G233" s="47" t="n">
        <x:v>36.3</x:v>
      </x:c>
      <x:c r="H233" s="49" t="str">
        <x:f>IF(G233&lt;=25,"Boa",IF(G233&lt;=50,"Moderada",IF(G233&lt;=75,"Ruim","Muito Ruim")))</x:f>
        <x:v>Moderada</x:v>
      </x:c>
    </x:row>
    <x:row r="234" ht="20" customHeight="1">
      <x:c r="A234" s="50" t="n">
        <x:v>46254</x:v>
      </x:c>
      <x:c r="B234" s="51" t="str">
        <x:v>Marginal Tietê</x:v>
      </x:c>
      <x:c r="C234" s="52" t="n">
        <x:v>6987</x:v>
      </x:c>
      <x:c r="D234" s="53" t="n">
        <x:v>19.5</x:v>
      </x:c>
      <x:c r="E234" s="54" t="n">
        <x:v>79</x:v>
      </x:c>
      <x:c r="F234" s="54" t="n">
        <x:v>716</x:v>
      </x:c>
      <x:c r="G234" s="53" t="n">
        <x:v>57.8</x:v>
      </x:c>
      <x:c r="H234" s="55" t="str">
        <x:f>IF(G234&lt;=25,"Boa",IF(G234&lt;=50,"Moderada",IF(G234&lt;=75,"Ruim","Muito Ruim")))</x:f>
        <x:v>Ruim</x:v>
      </x:c>
    </x:row>
    <x:row r="235" ht="20" customHeight="1">
      <x:c r="A235" s="44" t="n">
        <x:v>46254</x:v>
      </x:c>
      <x:c r="B235" s="45" t="str">
        <x:v>Paulista</x:v>
      </x:c>
      <x:c r="C235" s="46" t="n">
        <x:v>5220</x:v>
      </x:c>
      <x:c r="D235" s="47" t="n">
        <x:v>18.4</x:v>
      </x:c>
      <x:c r="E235" s="48" t="n">
        <x:v>86</x:v>
      </x:c>
      <x:c r="F235" s="48" t="n">
        <x:v>644</x:v>
      </x:c>
      <x:c r="G235" s="47" t="n">
        <x:v>36.9</x:v>
      </x:c>
      <x:c r="H235" s="49" t="str">
        <x:f>IF(G235&lt;=25,"Boa",IF(G235&lt;=50,"Moderada",IF(G235&lt;=75,"Ruim","Muito Ruim")))</x:f>
        <x:v>Moderada</x:v>
      </x:c>
    </x:row>
    <x:row r="236" ht="20" customHeight="1">
      <x:c r="A236" s="50" t="n">
        <x:v>46254</x:v>
      </x:c>
      <x:c r="B236" s="51" t="str">
        <x:v>Pinheiros</x:v>
      </x:c>
      <x:c r="C236" s="52" t="n">
        <x:v>4994</x:v>
      </x:c>
      <x:c r="D236" s="53" t="n">
        <x:v>22.7</x:v>
      </x:c>
      <x:c r="E236" s="54" t="n">
        <x:v>72</x:v>
      </x:c>
      <x:c r="F236" s="54" t="n">
        <x:v>602</x:v>
      </x:c>
      <x:c r="G236" s="53" t="n">
        <x:v>40.3</x:v>
      </x:c>
      <x:c r="H236" s="55" t="str">
        <x:f>IF(G236&lt;=25,"Boa",IF(G236&lt;=50,"Moderada",IF(G236&lt;=75,"Ruim","Muito Ruim")))</x:f>
        <x:v>Moderada</x:v>
      </x:c>
    </x:row>
    <x:row r="237" ht="20" customHeight="1">
      <x:c r="A237" s="44" t="n">
        <x:v>46254</x:v>
      </x:c>
      <x:c r="B237" s="45" t="str">
        <x:v>Zona Sul (Ibirapuera)</x:v>
      </x:c>
      <x:c r="C237" s="46" t="n">
        <x:v>4967</x:v>
      </x:c>
      <x:c r="D237" s="47" t="n">
        <x:v>23.9</x:v>
      </x:c>
      <x:c r="E237" s="48" t="n">
        <x:v>80</x:v>
      </x:c>
      <x:c r="F237" s="48" t="n">
        <x:v>545</x:v>
      </x:c>
      <x:c r="G237" s="47" t="n">
        <x:v>32</x:v>
      </x:c>
      <x:c r="H237" s="49" t="str">
        <x:f>IF(G237&lt;=25,"Boa",IF(G237&lt;=50,"Moderada",IF(G237&lt;=75,"Ruim","Muito Ruim")))</x:f>
        <x:v>Moderada</x:v>
      </x:c>
    </x:row>
    <x:row r="238" ht="20" customHeight="1">
      <x:c r="A238" s="50" t="n">
        <x:v>46254</x:v>
      </x:c>
      <x:c r="B238" s="51" t="str">
        <x:v>Vila Mariana</x:v>
      </x:c>
      <x:c r="C238" s="52" t="n">
        <x:v>4997</x:v>
      </x:c>
      <x:c r="D238" s="53" t="n">
        <x:v>25.5</x:v>
      </x:c>
      <x:c r="E238" s="54" t="n">
        <x:v>74</x:v>
      </x:c>
      <x:c r="F238" s="54" t="n">
        <x:v>584</x:v>
      </x:c>
      <x:c r="G238" s="53" t="n">
        <x:v>33.8</x:v>
      </x:c>
      <x:c r="H238" s="55" t="str">
        <x:f>IF(G238&lt;=25,"Boa",IF(G238&lt;=50,"Moderada",IF(G238&lt;=75,"Ruim","Muito Ruim")))</x:f>
        <x:v>Moderada</x:v>
      </x:c>
    </x:row>
    <x:row r="239" ht="20" customHeight="1">
      <x:c r="A239" s="44" t="n">
        <x:v>46254</x:v>
      </x:c>
      <x:c r="B239" s="45" t="str">
        <x:v>Santana</x:v>
      </x:c>
      <x:c r="C239" s="46" t="n">
        <x:v>6392</x:v>
      </x:c>
      <x:c r="D239" s="47" t="n">
        <x:v>25.7</x:v>
      </x:c>
      <x:c r="E239" s="48" t="n">
        <x:v>68</x:v>
      </x:c>
      <x:c r="F239" s="48" t="n">
        <x:v>594</x:v>
      </x:c>
      <x:c r="G239" s="47" t="n">
        <x:v>37</x:v>
      </x:c>
      <x:c r="H239" s="49" t="str">
        <x:f>IF(G239&lt;=25,"Boa",IF(G239&lt;=50,"Moderada",IF(G239&lt;=75,"Ruim","Muito Ruim")))</x:f>
        <x:v>Moderada</x:v>
      </x:c>
    </x:row>
    <x:row r="240" ht="20" customHeight="1">
      <x:c r="A240" s="50" t="n">
        <x:v>46254</x:v>
      </x:c>
      <x:c r="B240" s="51" t="str">
        <x:v>Lapa</x:v>
      </x:c>
      <x:c r="C240" s="52" t="n">
        <x:v>5501</x:v>
      </x:c>
      <x:c r="D240" s="53" t="n">
        <x:v>22.1</x:v>
      </x:c>
      <x:c r="E240" s="54" t="n">
        <x:v>70</x:v>
      </x:c>
      <x:c r="F240" s="54" t="n">
        <x:v>566</x:v>
      </x:c>
      <x:c r="G240" s="53" t="n">
        <x:v>39.9</x:v>
      </x:c>
      <x:c r="H240" s="55" t="str">
        <x:f>IF(G240&lt;=25,"Boa",IF(G240&lt;=50,"Moderada",IF(G240&lt;=75,"Ruim","Muito Ruim")))</x:f>
        <x:v>Moderada</x:v>
      </x:c>
    </x:row>
    <x:row r="241" ht="20" customHeight="1">
      <x:c r="A241" s="44" t="n">
        <x:v>46254</x:v>
      </x:c>
      <x:c r="B241" s="45" t="str">
        <x:v>Moema</x:v>
      </x:c>
      <x:c r="C241" s="46" t="n">
        <x:v>4247</x:v>
      </x:c>
      <x:c r="D241" s="47" t="n">
        <x:v>20.6</x:v>
      </x:c>
      <x:c r="E241" s="48" t="n">
        <x:v>73</x:v>
      </x:c>
      <x:c r="F241" s="48" t="n">
        <x:v>591</x:v>
      </x:c>
      <x:c r="G241" s="47" t="n">
        <x:v>36.6</x:v>
      </x:c>
      <x:c r="H241" s="49" t="str">
        <x:f>IF(G241&lt;=25,"Boa",IF(G241&lt;=50,"Moderada",IF(G241&lt;=75,"Ruim","Muito Ruim")))</x:f>
        <x:v>Moderada</x:v>
      </x:c>
    </x:row>
    <x:row r="242" ht="20" customHeight="1">
      <x:c r="A242" s="50" t="n">
        <x:v>46254</x:v>
      </x:c>
      <x:c r="B242" s="51" t="str">
        <x:v>Santo Amaro</x:v>
      </x:c>
      <x:c r="C242" s="52" t="n">
        <x:v>5638</x:v>
      </x:c>
      <x:c r="D242" s="53" t="n">
        <x:v>24.9</x:v>
      </x:c>
      <x:c r="E242" s="54" t="n">
        <x:v>67</x:v>
      </x:c>
      <x:c r="F242" s="54" t="n">
        <x:v>658</x:v>
      </x:c>
      <x:c r="G242" s="53" t="n">
        <x:v>36.6</x:v>
      </x:c>
      <x:c r="H242" s="55" t="str">
        <x:f>IF(G242&lt;=25,"Boa",IF(G242&lt;=50,"Moderada",IF(G242&lt;=75,"Ruim","Muito Ruim")))</x:f>
        <x:v>Moderada</x:v>
      </x:c>
    </x:row>
    <x:row r="243" ht="20" customHeight="1">
      <x:c r="A243" s="44" t="n">
        <x:v>46254</x:v>
      </x:c>
      <x:c r="B243" s="45" t="str">
        <x:v>Itaquera</x:v>
      </x:c>
      <x:c r="C243" s="46" t="n">
        <x:v>6795</x:v>
      </x:c>
      <x:c r="D243" s="47" t="n">
        <x:v>20.8</x:v>
      </x:c>
      <x:c r="E243" s="48" t="n">
        <x:v>79</x:v>
      </x:c>
      <x:c r="F243" s="48" t="n">
        <x:v>627</x:v>
      </x:c>
      <x:c r="G243" s="47" t="n">
        <x:v>53.6</x:v>
      </x:c>
      <x:c r="H243" s="49" t="str">
        <x:f>IF(G243&lt;=25,"Boa",IF(G243&lt;=50,"Moderada",IF(G243&lt;=75,"Ruim","Muito Ruim")))</x:f>
        <x:v>Ruim</x:v>
      </x:c>
    </x:row>
    <x:row r="244" ht="20" customHeight="1">
      <x:c r="A244" s="50" t="n">
        <x:v>46254</x:v>
      </x:c>
      <x:c r="B244" s="51" t="str">
        <x:v>São Mateus</x:v>
      </x:c>
      <x:c r="C244" s="52" t="n">
        <x:v>5833</x:v>
      </x:c>
      <x:c r="D244" s="53" t="n">
        <x:v>18.2</x:v>
      </x:c>
      <x:c r="E244" s="54" t="n">
        <x:v>75</x:v>
      </x:c>
      <x:c r="F244" s="54" t="n">
        <x:v>666</x:v>
      </x:c>
      <x:c r="G244" s="53" t="n">
        <x:v>51.4</x:v>
      </x:c>
      <x:c r="H244" s="55" t="str">
        <x:f>IF(G244&lt;=25,"Boa",IF(G244&lt;=50,"Moderada",IF(G244&lt;=75,"Ruim","Muito Ruim")))</x:f>
        <x:v>Ruim</x:v>
      </x:c>
    </x:row>
    <x:row r="245" ht="20" customHeight="1">
      <x:c r="A245" s="44" t="n">
        <x:v>46255</x:v>
      </x:c>
      <x:c r="B245" s="45" t="str">
        <x:v>Centro</x:v>
      </x:c>
      <x:c r="C245" s="46" t="n">
        <x:v>5556</x:v>
      </x:c>
      <x:c r="D245" s="47" t="n">
        <x:v>18.5</x:v>
      </x:c>
      <x:c r="E245" s="48" t="n">
        <x:v>79</x:v>
      </x:c>
      <x:c r="F245" s="48" t="n">
        <x:v>613</x:v>
      </x:c>
      <x:c r="G245" s="47" t="n">
        <x:v>36.9</x:v>
      </x:c>
      <x:c r="H245" s="49" t="str">
        <x:f>IF(G245&lt;=25,"Boa",IF(G245&lt;=50,"Moderada",IF(G245&lt;=75,"Ruim","Muito Ruim")))</x:f>
        <x:v>Moderada</x:v>
      </x:c>
    </x:row>
    <x:row r="246" ht="20" customHeight="1">
      <x:c r="A246" s="50" t="n">
        <x:v>46255</x:v>
      </x:c>
      <x:c r="B246" s="51" t="str">
        <x:v>Marginal Tietê</x:v>
      </x:c>
      <x:c r="C246" s="52" t="n">
        <x:v>8406</x:v>
      </x:c>
      <x:c r="D246" s="53" t="n">
        <x:v>22.2</x:v>
      </x:c>
      <x:c r="E246" s="54" t="n">
        <x:v>83</x:v>
      </x:c>
      <x:c r="F246" s="54" t="n">
        <x:v>785</x:v>
      </x:c>
      <x:c r="G246" s="53" t="n">
        <x:v>48.6</x:v>
      </x:c>
      <x:c r="H246" s="55" t="str">
        <x:f>IF(G246&lt;=25,"Boa",IF(G246&lt;=50,"Moderada",IF(G246&lt;=75,"Ruim","Muito Ruim")))</x:f>
        <x:v>Moderada</x:v>
      </x:c>
    </x:row>
    <x:row r="247" ht="20" customHeight="1">
      <x:c r="A247" s="44" t="n">
        <x:v>46255</x:v>
      </x:c>
      <x:c r="B247" s="45" t="str">
        <x:v>Paulista</x:v>
      </x:c>
      <x:c r="C247" s="46" t="n">
        <x:v>6278</x:v>
      </x:c>
      <x:c r="D247" s="47" t="n">
        <x:v>23.2</x:v>
      </x:c>
      <x:c r="E247" s="48" t="n">
        <x:v>74</x:v>
      </x:c>
      <x:c r="F247" s="48" t="n">
        <x:v>637</x:v>
      </x:c>
      <x:c r="G247" s="47" t="n">
        <x:v>44.5</x:v>
      </x:c>
      <x:c r="H247" s="49" t="str">
        <x:f>IF(G247&lt;=25,"Boa",IF(G247&lt;=50,"Moderada",IF(G247&lt;=75,"Ruim","Muito Ruim")))</x:f>
        <x:v>Moderada</x:v>
      </x:c>
    </x:row>
    <x:row r="248" ht="20" customHeight="1">
      <x:c r="A248" s="50" t="n">
        <x:v>46255</x:v>
      </x:c>
      <x:c r="B248" s="51" t="str">
        <x:v>Pinheiros</x:v>
      </x:c>
      <x:c r="C248" s="52" t="n">
        <x:v>3776</x:v>
      </x:c>
      <x:c r="D248" s="53" t="n">
        <x:v>23.8</x:v>
      </x:c>
      <x:c r="E248" s="54" t="n">
        <x:v>87</x:v>
      </x:c>
      <x:c r="F248" s="54" t="n">
        <x:v>577</x:v>
      </x:c>
      <x:c r="G248" s="53" t="n">
        <x:v>36.8</x:v>
      </x:c>
      <x:c r="H248" s="55" t="str">
        <x:f>IF(G248&lt;=25,"Boa",IF(G248&lt;=50,"Moderada",IF(G248&lt;=75,"Ruim","Muito Ruim")))</x:f>
        <x:v>Moderada</x:v>
      </x:c>
    </x:row>
    <x:row r="249" ht="20" customHeight="1">
      <x:c r="A249" s="44" t="n">
        <x:v>46255</x:v>
      </x:c>
      <x:c r="B249" s="45" t="str">
        <x:v>Zona Sul (Ibirapuera)</x:v>
      </x:c>
      <x:c r="C249" s="46" t="n">
        <x:v>5145</x:v>
      </x:c>
      <x:c r="D249" s="47" t="n">
        <x:v>25.3</x:v>
      </x:c>
      <x:c r="E249" s="48" t="n">
        <x:v>80</x:v>
      </x:c>
      <x:c r="F249" s="48" t="n">
        <x:v>571</x:v>
      </x:c>
      <x:c r="G249" s="47" t="n">
        <x:v>23.8</x:v>
      </x:c>
      <x:c r="H249" s="49" t="str">
        <x:f>IF(G249&lt;=25,"Boa",IF(G249&lt;=50,"Moderada",IF(G249&lt;=75,"Ruim","Muito Ruim")))</x:f>
        <x:v>Boa</x:v>
      </x:c>
    </x:row>
    <x:row r="250" ht="20" customHeight="1">
      <x:c r="A250" s="50" t="n">
        <x:v>46255</x:v>
      </x:c>
      <x:c r="B250" s="51" t="str">
        <x:v>Vila Mariana</x:v>
      </x:c>
      <x:c r="C250" s="52" t="n">
        <x:v>5349</x:v>
      </x:c>
      <x:c r="D250" s="53" t="n">
        <x:v>25.5</x:v>
      </x:c>
      <x:c r="E250" s="54" t="n">
        <x:v>71</x:v>
      </x:c>
      <x:c r="F250" s="54" t="n">
        <x:v>642</x:v>
      </x:c>
      <x:c r="G250" s="53" t="n">
        <x:v>42.3</x:v>
      </x:c>
      <x:c r="H250" s="55" t="str">
        <x:f>IF(G250&lt;=25,"Boa",IF(G250&lt;=50,"Moderada",IF(G250&lt;=75,"Ruim","Muito Ruim")))</x:f>
        <x:v>Moderada</x:v>
      </x:c>
    </x:row>
    <x:row r="251" ht="20" customHeight="1">
      <x:c r="A251" s="44" t="n">
        <x:v>46255</x:v>
      </x:c>
      <x:c r="B251" s="45" t="str">
        <x:v>Santana</x:v>
      </x:c>
      <x:c r="C251" s="46" t="n">
        <x:v>6693</x:v>
      </x:c>
      <x:c r="D251" s="47" t="n">
        <x:v>20.1</x:v>
      </x:c>
      <x:c r="E251" s="48" t="n">
        <x:v>81</x:v>
      </x:c>
      <x:c r="F251" s="48" t="n">
        <x:v>623</x:v>
      </x:c>
      <x:c r="G251" s="47" t="n">
        <x:v>45</x:v>
      </x:c>
      <x:c r="H251" s="49" t="str">
        <x:f>IF(G251&lt;=25,"Boa",IF(G251&lt;=50,"Moderada",IF(G251&lt;=75,"Ruim","Muito Ruim")))</x:f>
        <x:v>Moderada</x:v>
      </x:c>
    </x:row>
    <x:row r="252" ht="20" customHeight="1">
      <x:c r="A252" s="50" t="n">
        <x:v>46255</x:v>
      </x:c>
      <x:c r="B252" s="51" t="str">
        <x:v>Lapa</x:v>
      </x:c>
      <x:c r="C252" s="52" t="n">
        <x:v>4124</x:v>
      </x:c>
      <x:c r="D252" s="53" t="n">
        <x:v>20.9</x:v>
      </x:c>
      <x:c r="E252" s="54" t="n">
        <x:v>76</x:v>
      </x:c>
      <x:c r="F252" s="54" t="n">
        <x:v>583</x:v>
      </x:c>
      <x:c r="G252" s="53" t="n">
        <x:v>30.2</x:v>
      </x:c>
      <x:c r="H252" s="55" t="str">
        <x:f>IF(G252&lt;=25,"Boa",IF(G252&lt;=50,"Moderada",IF(G252&lt;=75,"Ruim","Muito Ruim")))</x:f>
        <x:v>Moderada</x:v>
      </x:c>
    </x:row>
    <x:row r="253" ht="20" customHeight="1">
      <x:c r="A253" s="44" t="n">
        <x:v>46255</x:v>
      </x:c>
      <x:c r="B253" s="45" t="str">
        <x:v>Moema</x:v>
      </x:c>
      <x:c r="C253" s="46" t="n">
        <x:v>4303</x:v>
      </x:c>
      <x:c r="D253" s="47" t="n">
        <x:v>25.1</x:v>
      </x:c>
      <x:c r="E253" s="48" t="n">
        <x:v>74</x:v>
      </x:c>
      <x:c r="F253" s="48" t="n">
        <x:v>571</x:v>
      </x:c>
      <x:c r="G253" s="47" t="n">
        <x:v>22.3</x:v>
      </x:c>
      <x:c r="H253" s="49" t="str">
        <x:f>IF(G253&lt;=25,"Boa",IF(G253&lt;=50,"Moderada",IF(G253&lt;=75,"Ruim","Muito Ruim")))</x:f>
        <x:v>Boa</x:v>
      </x:c>
    </x:row>
    <x:row r="254" ht="20" customHeight="1">
      <x:c r="A254" s="50" t="n">
        <x:v>46255</x:v>
      </x:c>
      <x:c r="B254" s="51" t="str">
        <x:v>Santo Amaro</x:v>
      </x:c>
      <x:c r="C254" s="52" t="n">
        <x:v>6958</x:v>
      </x:c>
      <x:c r="D254" s="53" t="n">
        <x:v>16.9</x:v>
      </x:c>
      <x:c r="E254" s="54" t="n">
        <x:v>84</x:v>
      </x:c>
      <x:c r="F254" s="54" t="n">
        <x:v>667</x:v>
      </x:c>
      <x:c r="G254" s="53" t="n">
        <x:v>37.9</x:v>
      </x:c>
      <x:c r="H254" s="55" t="str">
        <x:f>IF(G254&lt;=25,"Boa",IF(G254&lt;=50,"Moderada",IF(G254&lt;=75,"Ruim","Muito Ruim")))</x:f>
        <x:v>Moderada</x:v>
      </x:c>
    </x:row>
    <x:row r="255" ht="20" customHeight="1">
      <x:c r="A255" s="44" t="n">
        <x:v>46255</x:v>
      </x:c>
      <x:c r="B255" s="45" t="str">
        <x:v>Itaquera</x:v>
      </x:c>
      <x:c r="C255" s="46" t="n">
        <x:v>6615</x:v>
      </x:c>
      <x:c r="D255" s="47" t="n">
        <x:v>20.5</x:v>
      </x:c>
      <x:c r="E255" s="48" t="n">
        <x:v>81</x:v>
      </x:c>
      <x:c r="F255" s="48" t="n">
        <x:v>665</x:v>
      </x:c>
      <x:c r="G255" s="47" t="n">
        <x:v>51</x:v>
      </x:c>
      <x:c r="H255" s="49" t="str">
        <x:f>IF(G255&lt;=25,"Boa",IF(G255&lt;=50,"Moderada",IF(G255&lt;=75,"Ruim","Muito Ruim")))</x:f>
        <x:v>Ruim</x:v>
      </x:c>
    </x:row>
    <x:row r="256" ht="20" customHeight="1">
      <x:c r="A256" s="50" t="n">
        <x:v>46255</x:v>
      </x:c>
      <x:c r="B256" s="51" t="str">
        <x:v>São Mateus</x:v>
      </x:c>
      <x:c r="C256" s="52" t="n">
        <x:v>6058</x:v>
      </x:c>
      <x:c r="D256" s="53" t="n">
        <x:v>20.7</x:v>
      </x:c>
      <x:c r="E256" s="54" t="n">
        <x:v>84</x:v>
      </x:c>
      <x:c r="F256" s="54" t="n">
        <x:v>668</x:v>
      </x:c>
      <x:c r="G256" s="53" t="n">
        <x:v>29.4</x:v>
      </x:c>
      <x:c r="H256" s="55" t="str">
        <x:f>IF(G256&lt;=25,"Boa",IF(G256&lt;=50,"Moderada",IF(G256&lt;=75,"Ruim","Muito Ruim")))</x:f>
        <x:v>Moderada</x:v>
      </x:c>
    </x:row>
    <x:row r="257" ht="20" customHeight="1">
      <x:c r="A257" s="44" t="n">
        <x:v>46256</x:v>
      </x:c>
      <x:c r="B257" s="45" t="str">
        <x:v>Centro</x:v>
      </x:c>
      <x:c r="C257" s="46" t="n">
        <x:v>6117</x:v>
      </x:c>
      <x:c r="D257" s="47" t="n">
        <x:v>24.7</x:v>
      </x:c>
      <x:c r="E257" s="48" t="n">
        <x:v>87</x:v>
      </x:c>
      <x:c r="F257" s="48" t="n">
        <x:v>591</x:v>
      </x:c>
      <x:c r="G257" s="47" t="n">
        <x:v>41.2</x:v>
      </x:c>
      <x:c r="H257" s="49" t="str">
        <x:f>IF(G257&lt;=25,"Boa",IF(G257&lt;=50,"Moderada",IF(G257&lt;=75,"Ruim","Muito Ruim")))</x:f>
        <x:v>Moderada</x:v>
      </x:c>
    </x:row>
    <x:row r="258" ht="20" customHeight="1">
      <x:c r="A258" s="50" t="n">
        <x:v>46256</x:v>
      </x:c>
      <x:c r="B258" s="51" t="str">
        <x:v>Marginal Tietê</x:v>
      </x:c>
      <x:c r="C258" s="52" t="n">
        <x:v>7680</x:v>
      </x:c>
      <x:c r="D258" s="53" t="n">
        <x:v>18.4</x:v>
      </x:c>
      <x:c r="E258" s="54" t="n">
        <x:v>81</x:v>
      </x:c>
      <x:c r="F258" s="54" t="n">
        <x:v>677</x:v>
      </x:c>
      <x:c r="G258" s="53" t="n">
        <x:v>42.9</x:v>
      </x:c>
      <x:c r="H258" s="55" t="str">
        <x:f>IF(G258&lt;=25,"Boa",IF(G258&lt;=50,"Moderada",IF(G258&lt;=75,"Ruim","Muito Ruim")))</x:f>
        <x:v>Moderada</x:v>
      </x:c>
    </x:row>
    <x:row r="259" ht="20" customHeight="1">
      <x:c r="A259" s="44" t="n">
        <x:v>46256</x:v>
      </x:c>
      <x:c r="B259" s="45" t="str">
        <x:v>Paulista</x:v>
      </x:c>
      <x:c r="C259" s="46" t="n">
        <x:v>7294</x:v>
      </x:c>
      <x:c r="D259" s="47" t="n">
        <x:v>22.3</x:v>
      </x:c>
      <x:c r="E259" s="48" t="n">
        <x:v>84</x:v>
      </x:c>
      <x:c r="F259" s="48" t="n">
        <x:v>684</x:v>
      </x:c>
      <x:c r="G259" s="47" t="n">
        <x:v>51.9</x:v>
      </x:c>
      <x:c r="H259" s="49" t="str">
        <x:f>IF(G259&lt;=25,"Boa",IF(G259&lt;=50,"Moderada",IF(G259&lt;=75,"Ruim","Muito Ruim")))</x:f>
        <x:v>Ruim</x:v>
      </x:c>
    </x:row>
    <x:row r="260" ht="20" customHeight="1">
      <x:c r="A260" s="50" t="n">
        <x:v>46256</x:v>
      </x:c>
      <x:c r="B260" s="51" t="str">
        <x:v>Pinheiros</x:v>
      </x:c>
      <x:c r="C260" s="52" t="n">
        <x:v>5966</x:v>
      </x:c>
      <x:c r="D260" s="53" t="n">
        <x:v>23.2</x:v>
      </x:c>
      <x:c r="E260" s="54" t="n">
        <x:v>80</x:v>
      </x:c>
      <x:c r="F260" s="54" t="n">
        <x:v>579</x:v>
      </x:c>
      <x:c r="G260" s="53" t="n">
        <x:v>30.7</x:v>
      </x:c>
      <x:c r="H260" s="55" t="str">
        <x:f>IF(G260&lt;=25,"Boa",IF(G260&lt;=50,"Moderada",IF(G260&lt;=75,"Ruim","Muito Ruim")))</x:f>
        <x:v>Moderada</x:v>
      </x:c>
    </x:row>
    <x:row r="261" ht="20" customHeight="1">
      <x:c r="A261" s="44" t="n">
        <x:v>46256</x:v>
      </x:c>
      <x:c r="B261" s="45" t="str">
        <x:v>Zona Sul (Ibirapuera)</x:v>
      </x:c>
      <x:c r="C261" s="46" t="n">
        <x:v>5822</x:v>
      </x:c>
      <x:c r="D261" s="47" t="n">
        <x:v>19.7</x:v>
      </x:c>
      <x:c r="E261" s="48" t="n">
        <x:v>77</x:v>
      </x:c>
      <x:c r="F261" s="48" t="n">
        <x:v>650</x:v>
      </x:c>
      <x:c r="G261" s="47" t="n">
        <x:v>35.1</x:v>
      </x:c>
      <x:c r="H261" s="49" t="str">
        <x:f>IF(G261&lt;=25,"Boa",IF(G261&lt;=50,"Moderada",IF(G261&lt;=75,"Ruim","Muito Ruim")))</x:f>
        <x:v>Moderada</x:v>
      </x:c>
    </x:row>
    <x:row r="262" ht="20" customHeight="1">
      <x:c r="A262" s="50" t="n">
        <x:v>46256</x:v>
      </x:c>
      <x:c r="B262" s="51" t="str">
        <x:v>Vila Mariana</x:v>
      </x:c>
      <x:c r="C262" s="52" t="n">
        <x:v>6151</x:v>
      </x:c>
      <x:c r="D262" s="53" t="n">
        <x:v>19.1</x:v>
      </x:c>
      <x:c r="E262" s="54" t="n">
        <x:v>79</x:v>
      </x:c>
      <x:c r="F262" s="54" t="n">
        <x:v>642</x:v>
      </x:c>
      <x:c r="G262" s="53" t="n">
        <x:v>33.7</x:v>
      </x:c>
      <x:c r="H262" s="55" t="str">
        <x:f>IF(G262&lt;=25,"Boa",IF(G262&lt;=50,"Moderada",IF(G262&lt;=75,"Ruim","Muito Ruim")))</x:f>
        <x:v>Moderada</x:v>
      </x:c>
    </x:row>
    <x:row r="263" ht="20" customHeight="1">
      <x:c r="A263" s="44" t="n">
        <x:v>46256</x:v>
      </x:c>
      <x:c r="B263" s="45" t="str">
        <x:v>Santana</x:v>
      </x:c>
      <x:c r="C263" s="46" t="n">
        <x:v>6451</x:v>
      </x:c>
      <x:c r="D263" s="47" t="n">
        <x:v>17.6</x:v>
      </x:c>
      <x:c r="E263" s="48" t="n">
        <x:v>79</x:v>
      </x:c>
      <x:c r="F263" s="48" t="n">
        <x:v>681</x:v>
      </x:c>
      <x:c r="G263" s="47" t="n">
        <x:v>51.8</x:v>
      </x:c>
      <x:c r="H263" s="49" t="str">
        <x:f>IF(G263&lt;=25,"Boa",IF(G263&lt;=50,"Moderada",IF(G263&lt;=75,"Ruim","Muito Ruim")))</x:f>
        <x:v>Ruim</x:v>
      </x:c>
    </x:row>
    <x:row r="264" ht="20" customHeight="1">
      <x:c r="A264" s="50" t="n">
        <x:v>46256</x:v>
      </x:c>
      <x:c r="B264" s="51" t="str">
        <x:v>Lapa</x:v>
      </x:c>
      <x:c r="C264" s="52" t="n">
        <x:v>4845</x:v>
      </x:c>
      <x:c r="D264" s="53" t="n">
        <x:v>16.8</x:v>
      </x:c>
      <x:c r="E264" s="54" t="n">
        <x:v>85</x:v>
      </x:c>
      <x:c r="F264" s="54" t="n">
        <x:v>537</x:v>
      </x:c>
      <x:c r="G264" s="53" t="n">
        <x:v>30.4</x:v>
      </x:c>
      <x:c r="H264" s="55" t="str">
        <x:f>IF(G264&lt;=25,"Boa",IF(G264&lt;=50,"Moderada",IF(G264&lt;=75,"Ruim","Muito Ruim")))</x:f>
        <x:v>Moderada</x:v>
      </x:c>
    </x:row>
    <x:row r="265" ht="20" customHeight="1">
      <x:c r="A265" s="44" t="n">
        <x:v>46256</x:v>
      </x:c>
      <x:c r="B265" s="45" t="str">
        <x:v>Moema</x:v>
      </x:c>
      <x:c r="C265" s="46" t="n">
        <x:v>4792</x:v>
      </x:c>
      <x:c r="D265" s="47" t="n">
        <x:v>23.8</x:v>
      </x:c>
      <x:c r="E265" s="48" t="n">
        <x:v>71</x:v>
      </x:c>
      <x:c r="F265" s="48" t="n">
        <x:v>605</x:v>
      </x:c>
      <x:c r="G265" s="47" t="n">
        <x:v>37.4</x:v>
      </x:c>
      <x:c r="H265" s="49" t="str">
        <x:f>IF(G265&lt;=25,"Boa",IF(G265&lt;=50,"Moderada",IF(G265&lt;=75,"Ruim","Muito Ruim")))</x:f>
        <x:v>Moderada</x:v>
      </x:c>
    </x:row>
    <x:row r="266" ht="20" customHeight="1">
      <x:c r="A266" s="50" t="n">
        <x:v>46256</x:v>
      </x:c>
      <x:c r="B266" s="51" t="str">
        <x:v>Santo Amaro</x:v>
      </x:c>
      <x:c r="C266" s="52" t="n">
        <x:v>5942</x:v>
      </x:c>
      <x:c r="D266" s="53" t="n">
        <x:v>19.5</x:v>
      </x:c>
      <x:c r="E266" s="54" t="n">
        <x:v>76</x:v>
      </x:c>
      <x:c r="F266" s="54" t="n">
        <x:v>636</x:v>
      </x:c>
      <x:c r="G266" s="53" t="n">
        <x:v>44.4</x:v>
      </x:c>
      <x:c r="H266" s="55" t="str">
        <x:f>IF(G266&lt;=25,"Boa",IF(G266&lt;=50,"Moderada",IF(G266&lt;=75,"Ruim","Muito Ruim")))</x:f>
        <x:v>Moderada</x:v>
      </x:c>
    </x:row>
    <x:row r="267" ht="20" customHeight="1">
      <x:c r="A267" s="44" t="n">
        <x:v>46256</x:v>
      </x:c>
      <x:c r="B267" s="45" t="str">
        <x:v>Itaquera</x:v>
      </x:c>
      <x:c r="C267" s="46" t="n">
        <x:v>6267</x:v>
      </x:c>
      <x:c r="D267" s="47" t="n">
        <x:v>18.7</x:v>
      </x:c>
      <x:c r="E267" s="48" t="n">
        <x:v>85</x:v>
      </x:c>
      <x:c r="F267" s="48" t="n">
        <x:v>628</x:v>
      </x:c>
      <x:c r="G267" s="47" t="n">
        <x:v>34.2</x:v>
      </x:c>
      <x:c r="H267" s="49" t="str">
        <x:f>IF(G267&lt;=25,"Boa",IF(G267&lt;=50,"Moderada",IF(G267&lt;=75,"Ruim","Muito Ruim")))</x:f>
        <x:v>Moderada</x:v>
      </x:c>
    </x:row>
    <x:row r="268" ht="20" customHeight="1">
      <x:c r="A268" s="50" t="n">
        <x:v>46256</x:v>
      </x:c>
      <x:c r="B268" s="51" t="str">
        <x:v>São Mateus</x:v>
      </x:c>
      <x:c r="C268" s="52" t="n">
        <x:v>6154</x:v>
      </x:c>
      <x:c r="D268" s="53" t="n">
        <x:v>17</x:v>
      </x:c>
      <x:c r="E268" s="54" t="n">
        <x:v>78</x:v>
      </x:c>
      <x:c r="F268" s="54" t="n">
        <x:v>624</x:v>
      </x:c>
      <x:c r="G268" s="53" t="n">
        <x:v>45.1</x:v>
      </x:c>
      <x:c r="H268" s="55" t="str">
        <x:f>IF(G268&lt;=25,"Boa",IF(G268&lt;=50,"Moderada",IF(G268&lt;=75,"Ruim","Muito Ruim")))</x:f>
        <x:v>Moderada</x:v>
      </x:c>
    </x:row>
    <x:row r="269" ht="20" customHeight="1">
      <x:c r="A269" s="44" t="n">
        <x:v>46257</x:v>
      </x:c>
      <x:c r="B269" s="45" t="str">
        <x:v>Centro</x:v>
      </x:c>
      <x:c r="C269" s="46" t="n">
        <x:v>6958</x:v>
      </x:c>
      <x:c r="D269" s="47" t="n">
        <x:v>21.3</x:v>
      </x:c>
      <x:c r="E269" s="48" t="n">
        <x:v>80</x:v>
      </x:c>
      <x:c r="F269" s="48" t="n">
        <x:v>696</x:v>
      </x:c>
      <x:c r="G269" s="47" t="n">
        <x:v>41.8</x:v>
      </x:c>
      <x:c r="H269" s="49" t="str">
        <x:f>IF(G269&lt;=25,"Boa",IF(G269&lt;=50,"Moderada",IF(G269&lt;=75,"Ruim","Muito Ruim")))</x:f>
        <x:v>Moderada</x:v>
      </x:c>
    </x:row>
    <x:row r="270" ht="20" customHeight="1">
      <x:c r="A270" s="50" t="n">
        <x:v>46257</x:v>
      </x:c>
      <x:c r="B270" s="51" t="str">
        <x:v>Marginal Tietê</x:v>
      </x:c>
      <x:c r="C270" s="52" t="n">
        <x:v>8925</x:v>
      </x:c>
      <x:c r="D270" s="53" t="n">
        <x:v>23.2</x:v>
      </x:c>
      <x:c r="E270" s="54" t="n">
        <x:v>81</x:v>
      </x:c>
      <x:c r="F270" s="54" t="n">
        <x:v>808</x:v>
      </x:c>
      <x:c r="G270" s="53" t="n">
        <x:v>54.5</x:v>
      </x:c>
      <x:c r="H270" s="55" t="str">
        <x:f>IF(G270&lt;=25,"Boa",IF(G270&lt;=50,"Moderada",IF(G270&lt;=75,"Ruim","Muito Ruim")))</x:f>
        <x:v>Ruim</x:v>
      </x:c>
    </x:row>
    <x:row r="271" ht="20" customHeight="1">
      <x:c r="A271" s="44" t="n">
        <x:v>46257</x:v>
      </x:c>
      <x:c r="B271" s="45" t="str">
        <x:v>Paulista</x:v>
      </x:c>
      <x:c r="C271" s="46" t="n">
        <x:v>5233</x:v>
      </x:c>
      <x:c r="D271" s="47" t="n">
        <x:v>16.2</x:v>
      </x:c>
      <x:c r="E271" s="48" t="n">
        <x:v>86</x:v>
      </x:c>
      <x:c r="F271" s="48" t="n">
        <x:v>587</x:v>
      </x:c>
      <x:c r="G271" s="47" t="n">
        <x:v>26.5</x:v>
      </x:c>
      <x:c r="H271" s="49" t="str">
        <x:f>IF(G271&lt;=25,"Boa",IF(G271&lt;=50,"Moderada",IF(G271&lt;=75,"Ruim","Muito Ruim")))</x:f>
        <x:v>Moderada</x:v>
      </x:c>
    </x:row>
    <x:row r="272" ht="20" customHeight="1">
      <x:c r="A272" s="50" t="n">
        <x:v>46257</x:v>
      </x:c>
      <x:c r="B272" s="51" t="str">
        <x:v>Pinheiros</x:v>
      </x:c>
      <x:c r="C272" s="52" t="n">
        <x:v>5294</x:v>
      </x:c>
      <x:c r="D272" s="53" t="n">
        <x:v>21.3</x:v>
      </x:c>
      <x:c r="E272" s="54" t="n">
        <x:v>80</x:v>
      </x:c>
      <x:c r="F272" s="54" t="n">
        <x:v>631</x:v>
      </x:c>
      <x:c r="G272" s="53" t="n">
        <x:v>38.5</x:v>
      </x:c>
      <x:c r="H272" s="55" t="str">
        <x:f>IF(G272&lt;=25,"Boa",IF(G272&lt;=50,"Moderada",IF(G272&lt;=75,"Ruim","Muito Ruim")))</x:f>
        <x:v>Moderada</x:v>
      </x:c>
    </x:row>
    <x:row r="273" ht="20" customHeight="1">
      <x:c r="A273" s="44" t="n">
        <x:v>46257</x:v>
      </x:c>
      <x:c r="B273" s="45" t="str">
        <x:v>Zona Sul (Ibirapuera)</x:v>
      </x:c>
      <x:c r="C273" s="46" t="n">
        <x:v>6106</x:v>
      </x:c>
      <x:c r="D273" s="47" t="n">
        <x:v>22</x:v>
      </x:c>
      <x:c r="E273" s="48" t="n">
        <x:v>82</x:v>
      </x:c>
      <x:c r="F273" s="48" t="n">
        <x:v>608</x:v>
      </x:c>
      <x:c r="G273" s="47" t="n">
        <x:v>36.9</x:v>
      </x:c>
      <x:c r="H273" s="49" t="str">
        <x:f>IF(G273&lt;=25,"Boa",IF(G273&lt;=50,"Moderada",IF(G273&lt;=75,"Ruim","Muito Ruim")))</x:f>
        <x:v>Moderada</x:v>
      </x:c>
    </x:row>
    <x:row r="274" ht="20" customHeight="1">
      <x:c r="A274" s="50" t="n">
        <x:v>46257</x:v>
      </x:c>
      <x:c r="B274" s="51" t="str">
        <x:v>Vila Mariana</x:v>
      </x:c>
      <x:c r="C274" s="52" t="n">
        <x:v>5326</x:v>
      </x:c>
      <x:c r="D274" s="53" t="n">
        <x:v>23.3</x:v>
      </x:c>
      <x:c r="E274" s="54" t="n">
        <x:v>86</x:v>
      </x:c>
      <x:c r="F274" s="54" t="n">
        <x:v>651</x:v>
      </x:c>
      <x:c r="G274" s="53" t="n">
        <x:v>43.3</x:v>
      </x:c>
      <x:c r="H274" s="55" t="str">
        <x:f>IF(G274&lt;=25,"Boa",IF(G274&lt;=50,"Moderada",IF(G274&lt;=75,"Ruim","Muito Ruim")))</x:f>
        <x:v>Moderada</x:v>
      </x:c>
    </x:row>
    <x:row r="275" ht="20" customHeight="1">
      <x:c r="A275" s="44" t="n">
        <x:v>46257</x:v>
      </x:c>
      <x:c r="B275" s="45" t="str">
        <x:v>Santana</x:v>
      </x:c>
      <x:c r="C275" s="46" t="n">
        <x:v>5080</x:v>
      </x:c>
      <x:c r="D275" s="47" t="n">
        <x:v>24.4</x:v>
      </x:c>
      <x:c r="E275" s="48" t="n">
        <x:v>71</x:v>
      </x:c>
      <x:c r="F275" s="48" t="n">
        <x:v>645</x:v>
      </x:c>
      <x:c r="G275" s="47" t="n">
        <x:v>25.1</x:v>
      </x:c>
      <x:c r="H275" s="49" t="str">
        <x:f>IF(G275&lt;=25,"Boa",IF(G275&lt;=50,"Moderada",IF(G275&lt;=75,"Ruim","Muito Ruim")))</x:f>
        <x:v>Moderada</x:v>
      </x:c>
    </x:row>
    <x:row r="276" ht="20" customHeight="1">
      <x:c r="A276" s="50" t="n">
        <x:v>46257</x:v>
      </x:c>
      <x:c r="B276" s="51" t="str">
        <x:v>Lapa</x:v>
      </x:c>
      <x:c r="C276" s="52" t="n">
        <x:v>6424</x:v>
      </x:c>
      <x:c r="D276" s="53" t="n">
        <x:v>18.8</x:v>
      </x:c>
      <x:c r="E276" s="54" t="n">
        <x:v>76</x:v>
      </x:c>
      <x:c r="F276" s="54" t="n">
        <x:v>631</x:v>
      </x:c>
      <x:c r="G276" s="53" t="n">
        <x:v>29.5</x:v>
      </x:c>
      <x:c r="H276" s="55" t="str">
        <x:f>IF(G276&lt;=25,"Boa",IF(G276&lt;=50,"Moderada",IF(G276&lt;=75,"Ruim","Muito Ruim")))</x:f>
        <x:v>Moderada</x:v>
      </x:c>
    </x:row>
    <x:row r="277" ht="20" customHeight="1">
      <x:c r="A277" s="44" t="n">
        <x:v>46257</x:v>
      </x:c>
      <x:c r="B277" s="45" t="str">
        <x:v>Moema</x:v>
      </x:c>
      <x:c r="C277" s="46" t="n">
        <x:v>4088</x:v>
      </x:c>
      <x:c r="D277" s="47" t="n">
        <x:v>16</x:v>
      </x:c>
      <x:c r="E277" s="48" t="n">
        <x:v>87</x:v>
      </x:c>
      <x:c r="F277" s="48" t="n">
        <x:v>596</x:v>
      </x:c>
      <x:c r="G277" s="47" t="n">
        <x:v>23.9</x:v>
      </x:c>
      <x:c r="H277" s="49" t="str">
        <x:f>IF(G277&lt;=25,"Boa",IF(G277&lt;=50,"Moderada",IF(G277&lt;=75,"Ruim","Muito Ruim")))</x:f>
        <x:v>Boa</x:v>
      </x:c>
    </x:row>
    <x:row r="278" ht="20" customHeight="1">
      <x:c r="A278" s="50" t="n">
        <x:v>46257</x:v>
      </x:c>
      <x:c r="B278" s="51" t="str">
        <x:v>Santo Amaro</x:v>
      </x:c>
      <x:c r="C278" s="52" t="n">
        <x:v>6181</x:v>
      </x:c>
      <x:c r="D278" s="53" t="n">
        <x:v>22.1</x:v>
      </x:c>
      <x:c r="E278" s="54" t="n">
        <x:v>83</x:v>
      </x:c>
      <x:c r="F278" s="54" t="n">
        <x:v>608</x:v>
      </x:c>
      <x:c r="G278" s="53" t="n">
        <x:v>39.6</x:v>
      </x:c>
      <x:c r="H278" s="55" t="str">
        <x:f>IF(G278&lt;=25,"Boa",IF(G278&lt;=50,"Moderada",IF(G278&lt;=75,"Ruim","Muito Ruim")))</x:f>
        <x:v>Moderada</x:v>
      </x:c>
    </x:row>
    <x:row r="279" ht="20" customHeight="1">
      <x:c r="A279" s="44" t="n">
        <x:v>46257</x:v>
      </x:c>
      <x:c r="B279" s="45" t="str">
        <x:v>Itaquera</x:v>
      </x:c>
      <x:c r="C279" s="46" t="n">
        <x:v>6271</x:v>
      </x:c>
      <x:c r="D279" s="47" t="n">
        <x:v>20.1</x:v>
      </x:c>
      <x:c r="E279" s="48" t="n">
        <x:v>83</x:v>
      </x:c>
      <x:c r="F279" s="48" t="n">
        <x:v>632</x:v>
      </x:c>
      <x:c r="G279" s="47" t="n">
        <x:v>46.7</x:v>
      </x:c>
      <x:c r="H279" s="49" t="str">
        <x:f>IF(G279&lt;=25,"Boa",IF(G279&lt;=50,"Moderada",IF(G279&lt;=75,"Ruim","Muito Ruim")))</x:f>
        <x:v>Moderada</x:v>
      </x:c>
    </x:row>
    <x:row r="280" ht="20" customHeight="1">
      <x:c r="A280" s="50" t="n">
        <x:v>46257</x:v>
      </x:c>
      <x:c r="B280" s="51" t="str">
        <x:v>São Mateus</x:v>
      </x:c>
      <x:c r="C280" s="52" t="n">
        <x:v>5710</x:v>
      </x:c>
      <x:c r="D280" s="53" t="n">
        <x:v>23.1</x:v>
      </x:c>
      <x:c r="E280" s="54" t="n">
        <x:v>71</x:v>
      </x:c>
      <x:c r="F280" s="54" t="n">
        <x:v>594</x:v>
      </x:c>
      <x:c r="G280" s="53" t="n">
        <x:v>41.1</x:v>
      </x:c>
      <x:c r="H280" s="55" t="str">
        <x:f>IF(G280&lt;=25,"Boa",IF(G280&lt;=50,"Moderada",IF(G280&lt;=75,"Ruim","Muito Ruim")))</x:f>
        <x:v>Moderada</x:v>
      </x:c>
    </x:row>
    <x:row r="281" ht="20" customHeight="1">
      <x:c r="A281" s="44" t="n">
        <x:v>46258</x:v>
      </x:c>
      <x:c r="B281" s="45" t="str">
        <x:v>Centro</x:v>
      </x:c>
      <x:c r="C281" s="46" t="n">
        <x:v>5595</x:v>
      </x:c>
      <x:c r="D281" s="47" t="n">
        <x:v>20.2</x:v>
      </x:c>
      <x:c r="E281" s="48" t="n">
        <x:v>80</x:v>
      </x:c>
      <x:c r="F281" s="48" t="n">
        <x:v>576</x:v>
      </x:c>
      <x:c r="G281" s="47" t="n">
        <x:v>44.1</x:v>
      </x:c>
      <x:c r="H281" s="49" t="str">
        <x:f>IF(G281&lt;=25,"Boa",IF(G281&lt;=50,"Moderada",IF(G281&lt;=75,"Ruim","Muito Ruim")))</x:f>
        <x:v>Moderada</x:v>
      </x:c>
    </x:row>
    <x:row r="282" ht="20" customHeight="1">
      <x:c r="A282" s="50" t="n">
        <x:v>46258</x:v>
      </x:c>
      <x:c r="B282" s="51" t="str">
        <x:v>Marginal Tietê</x:v>
      </x:c>
      <x:c r="C282" s="52" t="n">
        <x:v>6803</x:v>
      </x:c>
      <x:c r="D282" s="53" t="n">
        <x:v>20.8</x:v>
      </x:c>
      <x:c r="E282" s="54" t="n">
        <x:v>76</x:v>
      </x:c>
      <x:c r="F282" s="54" t="n">
        <x:v>686</x:v>
      </x:c>
      <x:c r="G282" s="53" t="n">
        <x:v>46</x:v>
      </x:c>
      <x:c r="H282" s="55" t="str">
        <x:f>IF(G282&lt;=25,"Boa",IF(G282&lt;=50,"Moderada",IF(G282&lt;=75,"Ruim","Muito Ruim")))</x:f>
        <x:v>Moderada</x:v>
      </x:c>
    </x:row>
    <x:row r="283" ht="20" customHeight="1">
      <x:c r="A283" s="44" t="n">
        <x:v>46258</x:v>
      </x:c>
      <x:c r="B283" s="45" t="str">
        <x:v>Paulista</x:v>
      </x:c>
      <x:c r="C283" s="46" t="n">
        <x:v>5539</x:v>
      </x:c>
      <x:c r="D283" s="47" t="n">
        <x:v>19.2</x:v>
      </x:c>
      <x:c r="E283" s="48" t="n">
        <x:v>78</x:v>
      </x:c>
      <x:c r="F283" s="48" t="n">
        <x:v>668</x:v>
      </x:c>
      <x:c r="G283" s="47" t="n">
        <x:v>37.4</x:v>
      </x:c>
      <x:c r="H283" s="49" t="str">
        <x:f>IF(G283&lt;=25,"Boa",IF(G283&lt;=50,"Moderada",IF(G283&lt;=75,"Ruim","Muito Ruim")))</x:f>
        <x:v>Moderada</x:v>
      </x:c>
    </x:row>
    <x:row r="284" ht="20" customHeight="1">
      <x:c r="A284" s="50" t="n">
        <x:v>46258</x:v>
      </x:c>
      <x:c r="B284" s="51" t="str">
        <x:v>Pinheiros</x:v>
      </x:c>
      <x:c r="C284" s="52" t="n">
        <x:v>4698</x:v>
      </x:c>
      <x:c r="D284" s="53" t="n">
        <x:v>22.3</x:v>
      </x:c>
      <x:c r="E284" s="54" t="n">
        <x:v>80</x:v>
      </x:c>
      <x:c r="F284" s="54" t="n">
        <x:v>616</x:v>
      </x:c>
      <x:c r="G284" s="53" t="n">
        <x:v>21.6</x:v>
      </x:c>
      <x:c r="H284" s="55" t="str">
        <x:f>IF(G284&lt;=25,"Boa",IF(G284&lt;=50,"Moderada",IF(G284&lt;=75,"Ruim","Muito Ruim")))</x:f>
        <x:v>Boa</x:v>
      </x:c>
    </x:row>
    <x:row r="285" ht="20" customHeight="1">
      <x:c r="A285" s="44" t="n">
        <x:v>46258</x:v>
      </x:c>
      <x:c r="B285" s="45" t="str">
        <x:v>Zona Sul (Ibirapuera)</x:v>
      </x:c>
      <x:c r="C285" s="46" t="n">
        <x:v>3938</x:v>
      </x:c>
      <x:c r="D285" s="47" t="n">
        <x:v>18.6</x:v>
      </x:c>
      <x:c r="E285" s="48" t="n">
        <x:v>80</x:v>
      </x:c>
      <x:c r="F285" s="48" t="n">
        <x:v>529</x:v>
      </x:c>
      <x:c r="G285" s="47" t="n">
        <x:v>13.8</x:v>
      </x:c>
      <x:c r="H285" s="49" t="str">
        <x:f>IF(G285&lt;=25,"Boa",IF(G285&lt;=50,"Moderada",IF(G285&lt;=75,"Ruim","Muito Ruim")))</x:f>
        <x:v>Boa</x:v>
      </x:c>
    </x:row>
    <x:row r="286" ht="20" customHeight="1">
      <x:c r="A286" s="50" t="n">
        <x:v>46258</x:v>
      </x:c>
      <x:c r="B286" s="51" t="str">
        <x:v>Vila Mariana</x:v>
      </x:c>
      <x:c r="C286" s="52" t="n">
        <x:v>6579</x:v>
      </x:c>
      <x:c r="D286" s="53" t="n">
        <x:v>19.3</x:v>
      </x:c>
      <x:c r="E286" s="54" t="n">
        <x:v>86</x:v>
      </x:c>
      <x:c r="F286" s="54" t="n">
        <x:v>679</x:v>
      </x:c>
      <x:c r="G286" s="53" t="n">
        <x:v>47.2</x:v>
      </x:c>
      <x:c r="H286" s="55" t="str">
        <x:f>IF(G286&lt;=25,"Boa",IF(G286&lt;=50,"Moderada",IF(G286&lt;=75,"Ruim","Muito Ruim")))</x:f>
        <x:v>Moderada</x:v>
      </x:c>
    </x:row>
    <x:row r="287" ht="20" customHeight="1">
      <x:c r="A287" s="44" t="n">
        <x:v>46258</x:v>
      </x:c>
      <x:c r="B287" s="45" t="str">
        <x:v>Santana</x:v>
      </x:c>
      <x:c r="C287" s="46" t="n">
        <x:v>5372</x:v>
      </x:c>
      <x:c r="D287" s="47" t="n">
        <x:v>22</x:v>
      </x:c>
      <x:c r="E287" s="48" t="n">
        <x:v>74</x:v>
      </x:c>
      <x:c r="F287" s="48" t="n">
        <x:v>661</x:v>
      </x:c>
      <x:c r="G287" s="47" t="n">
        <x:v>35.5</x:v>
      </x:c>
      <x:c r="H287" s="49" t="str">
        <x:f>IF(G287&lt;=25,"Boa",IF(G287&lt;=50,"Moderada",IF(G287&lt;=75,"Ruim","Muito Ruim")))</x:f>
        <x:v>Moderada</x:v>
      </x:c>
    </x:row>
    <x:row r="288" ht="20" customHeight="1">
      <x:c r="A288" s="50" t="n">
        <x:v>46258</x:v>
      </x:c>
      <x:c r="B288" s="51" t="str">
        <x:v>Lapa</x:v>
      </x:c>
      <x:c r="C288" s="52" t="n">
        <x:v>5588</x:v>
      </x:c>
      <x:c r="D288" s="53" t="n">
        <x:v>18.1</x:v>
      </x:c>
      <x:c r="E288" s="54" t="n">
        <x:v>84</x:v>
      </x:c>
      <x:c r="F288" s="54" t="n">
        <x:v>647</x:v>
      </x:c>
      <x:c r="G288" s="53" t="n">
        <x:v>42.6</x:v>
      </x:c>
      <x:c r="H288" s="55" t="str">
        <x:f>IF(G288&lt;=25,"Boa",IF(G288&lt;=50,"Moderada",IF(G288&lt;=75,"Ruim","Muito Ruim")))</x:f>
        <x:v>Moderada</x:v>
      </x:c>
    </x:row>
    <x:row r="289" ht="20" customHeight="1">
      <x:c r="A289" s="44" t="n">
        <x:v>46258</x:v>
      </x:c>
      <x:c r="B289" s="45" t="str">
        <x:v>Moema</x:v>
      </x:c>
      <x:c r="C289" s="46" t="n">
        <x:v>4118</x:v>
      </x:c>
      <x:c r="D289" s="47" t="n">
        <x:v>16.3</x:v>
      </x:c>
      <x:c r="E289" s="48" t="n">
        <x:v>80</x:v>
      </x:c>
      <x:c r="F289" s="48" t="n">
        <x:v>589</x:v>
      </x:c>
      <x:c r="G289" s="47" t="n">
        <x:v>27.1</x:v>
      </x:c>
      <x:c r="H289" s="49" t="str">
        <x:f>IF(G289&lt;=25,"Boa",IF(G289&lt;=50,"Moderada",IF(G289&lt;=75,"Ruim","Muito Ruim")))</x:f>
        <x:v>Moderada</x:v>
      </x:c>
    </x:row>
    <x:row r="290" ht="20" customHeight="1">
      <x:c r="A290" s="50" t="n">
        <x:v>46258</x:v>
      </x:c>
      <x:c r="B290" s="51" t="str">
        <x:v>Santo Amaro</x:v>
      </x:c>
      <x:c r="C290" s="52" t="n">
        <x:v>6369</x:v>
      </x:c>
      <x:c r="D290" s="53" t="n">
        <x:v>22</x:v>
      </x:c>
      <x:c r="E290" s="54" t="n">
        <x:v>82</x:v>
      </x:c>
      <x:c r="F290" s="54" t="n">
        <x:v>622</x:v>
      </x:c>
      <x:c r="G290" s="53" t="n">
        <x:v>41.1</x:v>
      </x:c>
      <x:c r="H290" s="55" t="str">
        <x:f>IF(G290&lt;=25,"Boa",IF(G290&lt;=50,"Moderada",IF(G290&lt;=75,"Ruim","Muito Ruim")))</x:f>
        <x:v>Moderada</x:v>
      </x:c>
    </x:row>
    <x:row r="291" ht="20" customHeight="1">
      <x:c r="A291" s="44" t="n">
        <x:v>46258</x:v>
      </x:c>
      <x:c r="B291" s="45" t="str">
        <x:v>Itaquera</x:v>
      </x:c>
      <x:c r="C291" s="46" t="n">
        <x:v>7108</x:v>
      </x:c>
      <x:c r="D291" s="47" t="n">
        <x:v>16</x:v>
      </x:c>
      <x:c r="E291" s="48" t="n">
        <x:v>87</x:v>
      </x:c>
      <x:c r="F291" s="48" t="n">
        <x:v>640</x:v>
      </x:c>
      <x:c r="G291" s="47" t="n">
        <x:v>52.7</x:v>
      </x:c>
      <x:c r="H291" s="49" t="str">
        <x:f>IF(G291&lt;=25,"Boa",IF(G291&lt;=50,"Moderada",IF(G291&lt;=75,"Ruim","Muito Ruim")))</x:f>
        <x:v>Ruim</x:v>
      </x:c>
    </x:row>
    <x:row r="292" ht="20" customHeight="1">
      <x:c r="A292" s="50" t="n">
        <x:v>46258</x:v>
      </x:c>
      <x:c r="B292" s="51" t="str">
        <x:v>São Mateus</x:v>
      </x:c>
      <x:c r="C292" s="52" t="n">
        <x:v>6710</x:v>
      </x:c>
      <x:c r="D292" s="53" t="n">
        <x:v>19.5</x:v>
      </x:c>
      <x:c r="E292" s="54" t="n">
        <x:v>76</x:v>
      </x:c>
      <x:c r="F292" s="54" t="n">
        <x:v>692</x:v>
      </x:c>
      <x:c r="G292" s="53" t="n">
        <x:v>38.5</x:v>
      </x:c>
      <x:c r="H292" s="55" t="str">
        <x:f>IF(G292&lt;=25,"Boa",IF(G292&lt;=50,"Moderada",IF(G292&lt;=75,"Ruim","Muito Ruim")))</x:f>
        <x:v>Moderada</x:v>
      </x:c>
    </x:row>
    <x:row r="293" ht="20" customHeight="1">
      <x:c r="A293" s="44" t="n">
        <x:v>46259</x:v>
      </x:c>
      <x:c r="B293" s="45" t="str">
        <x:v>Centro</x:v>
      </x:c>
      <x:c r="C293" s="46" t="n">
        <x:v>6606</x:v>
      </x:c>
      <x:c r="D293" s="47" t="n">
        <x:v>19.8</x:v>
      </x:c>
      <x:c r="E293" s="48" t="n">
        <x:v>76</x:v>
      </x:c>
      <x:c r="F293" s="48" t="n">
        <x:v>654</x:v>
      </x:c>
      <x:c r="G293" s="47" t="n">
        <x:v>38.9</x:v>
      </x:c>
      <x:c r="H293" s="49" t="str">
        <x:f>IF(G293&lt;=25,"Boa",IF(G293&lt;=50,"Moderada",IF(G293&lt;=75,"Ruim","Muito Ruim")))</x:f>
        <x:v>Moderada</x:v>
      </x:c>
    </x:row>
    <x:row r="294" ht="20" customHeight="1">
      <x:c r="A294" s="50" t="n">
        <x:v>46259</x:v>
      </x:c>
      <x:c r="B294" s="51" t="str">
        <x:v>Marginal Tietê</x:v>
      </x:c>
      <x:c r="C294" s="52" t="n">
        <x:v>8026</x:v>
      </x:c>
      <x:c r="D294" s="53" t="n">
        <x:v>22</x:v>
      </x:c>
      <x:c r="E294" s="54" t="n">
        <x:v>81</x:v>
      </x:c>
      <x:c r="F294" s="54" t="n">
        <x:v>732</x:v>
      </x:c>
      <x:c r="G294" s="53" t="n">
        <x:v>58.6</x:v>
      </x:c>
      <x:c r="H294" s="55" t="str">
        <x:f>IF(G294&lt;=25,"Boa",IF(G294&lt;=50,"Moderada",IF(G294&lt;=75,"Ruim","Muito Ruim")))</x:f>
        <x:v>Ruim</x:v>
      </x:c>
    </x:row>
    <x:row r="295" ht="20" customHeight="1">
      <x:c r="A295" s="44" t="n">
        <x:v>46259</x:v>
      </x:c>
      <x:c r="B295" s="45" t="str">
        <x:v>Paulista</x:v>
      </x:c>
      <x:c r="C295" s="46" t="n">
        <x:v>7014</x:v>
      </x:c>
      <x:c r="D295" s="47" t="n">
        <x:v>16.8</x:v>
      </x:c>
      <x:c r="E295" s="48" t="n">
        <x:v>84</x:v>
      </x:c>
      <x:c r="F295" s="48" t="n">
        <x:v>699</x:v>
      </x:c>
      <x:c r="G295" s="47" t="n">
        <x:v>41.8</x:v>
      </x:c>
      <x:c r="H295" s="49" t="str">
        <x:f>IF(G295&lt;=25,"Boa",IF(G295&lt;=50,"Moderada",IF(G295&lt;=75,"Ruim","Muito Ruim")))</x:f>
        <x:v>Moderada</x:v>
      </x:c>
    </x:row>
    <x:row r="296" ht="20" customHeight="1">
      <x:c r="A296" s="50" t="n">
        <x:v>46259</x:v>
      </x:c>
      <x:c r="B296" s="51" t="str">
        <x:v>Pinheiros</x:v>
      </x:c>
      <x:c r="C296" s="52" t="n">
        <x:v>5560</x:v>
      </x:c>
      <x:c r="D296" s="53" t="n">
        <x:v>21.3</x:v>
      </x:c>
      <x:c r="E296" s="54" t="n">
        <x:v>87</x:v>
      </x:c>
      <x:c r="F296" s="54" t="n">
        <x:v>576</x:v>
      </x:c>
      <x:c r="G296" s="53" t="n">
        <x:v>42.2</x:v>
      </x:c>
      <x:c r="H296" s="55" t="str">
        <x:f>IF(G296&lt;=25,"Boa",IF(G296&lt;=50,"Moderada",IF(G296&lt;=75,"Ruim","Muito Ruim")))</x:f>
        <x:v>Moderada</x:v>
      </x:c>
    </x:row>
    <x:row r="297" ht="20" customHeight="1">
      <x:c r="A297" s="44" t="n">
        <x:v>46259</x:v>
      </x:c>
      <x:c r="B297" s="45" t="str">
        <x:v>Zona Sul (Ibirapuera)</x:v>
      </x:c>
      <x:c r="C297" s="46" t="n">
        <x:v>5150</x:v>
      </x:c>
      <x:c r="D297" s="47" t="n">
        <x:v>21.9</x:v>
      </x:c>
      <x:c r="E297" s="48" t="n">
        <x:v>73</x:v>
      </x:c>
      <x:c r="F297" s="48" t="n">
        <x:v>606</x:v>
      </x:c>
      <x:c r="G297" s="47" t="n">
        <x:v>30.5</x:v>
      </x:c>
      <x:c r="H297" s="49" t="str">
        <x:f>IF(G297&lt;=25,"Boa",IF(G297&lt;=50,"Moderada",IF(G297&lt;=75,"Ruim","Muito Ruim")))</x:f>
        <x:v>Moderada</x:v>
      </x:c>
    </x:row>
    <x:row r="298" ht="20" customHeight="1">
      <x:c r="A298" s="50" t="n">
        <x:v>46259</x:v>
      </x:c>
      <x:c r="B298" s="51" t="str">
        <x:v>Vila Mariana</x:v>
      </x:c>
      <x:c r="C298" s="52" t="n">
        <x:v>4855</x:v>
      </x:c>
      <x:c r="D298" s="53" t="n">
        <x:v>20.6</x:v>
      </x:c>
      <x:c r="E298" s="54" t="n">
        <x:v>77</x:v>
      </x:c>
      <x:c r="F298" s="54" t="n">
        <x:v>566</x:v>
      </x:c>
      <x:c r="G298" s="53" t="n">
        <x:v>40.4</x:v>
      </x:c>
      <x:c r="H298" s="55" t="str">
        <x:f>IF(G298&lt;=25,"Boa",IF(G298&lt;=50,"Moderada",IF(G298&lt;=75,"Ruim","Muito Ruim")))</x:f>
        <x:v>Moderada</x:v>
      </x:c>
    </x:row>
    <x:row r="299" ht="20" customHeight="1">
      <x:c r="A299" s="44" t="n">
        <x:v>46259</x:v>
      </x:c>
      <x:c r="B299" s="45" t="str">
        <x:v>Santana</x:v>
      </x:c>
      <x:c r="C299" s="46" t="n">
        <x:v>6910</x:v>
      </x:c>
      <x:c r="D299" s="47" t="n">
        <x:v>20.6</x:v>
      </x:c>
      <x:c r="E299" s="48" t="n">
        <x:v>81</x:v>
      </x:c>
      <x:c r="F299" s="48" t="n">
        <x:v>685</x:v>
      </x:c>
      <x:c r="G299" s="47" t="n">
        <x:v>35.5</x:v>
      </x:c>
      <x:c r="H299" s="49" t="str">
        <x:f>IF(G299&lt;=25,"Boa",IF(G299&lt;=50,"Moderada",IF(G299&lt;=75,"Ruim","Muito Ruim")))</x:f>
        <x:v>Moderada</x:v>
      </x:c>
    </x:row>
    <x:row r="300" ht="20" customHeight="1">
      <x:c r="A300" s="50" t="n">
        <x:v>46259</x:v>
      </x:c>
      <x:c r="B300" s="51" t="str">
        <x:v>Lapa</x:v>
      </x:c>
      <x:c r="C300" s="52" t="n">
        <x:v>5946</x:v>
      </x:c>
      <x:c r="D300" s="53" t="n">
        <x:v>24.9</x:v>
      </x:c>
      <x:c r="E300" s="54" t="n">
        <x:v>85</x:v>
      </x:c>
      <x:c r="F300" s="54" t="n">
        <x:v>669</x:v>
      </x:c>
      <x:c r="G300" s="53" t="n">
        <x:v>33.3</x:v>
      </x:c>
      <x:c r="H300" s="55" t="str">
        <x:f>IF(G300&lt;=25,"Boa",IF(G300&lt;=50,"Moderada",IF(G300&lt;=75,"Ruim","Muito Ruim")))</x:f>
        <x:v>Moderada</x:v>
      </x:c>
    </x:row>
    <x:row r="301" ht="20" customHeight="1">
      <x:c r="A301" s="44" t="n">
        <x:v>46259</x:v>
      </x:c>
      <x:c r="B301" s="45" t="str">
        <x:v>Moema</x:v>
      </x:c>
      <x:c r="C301" s="46" t="n">
        <x:v>5898</x:v>
      </x:c>
      <x:c r="D301" s="47" t="n">
        <x:v>19</x:v>
      </x:c>
      <x:c r="E301" s="48" t="n">
        <x:v>83</x:v>
      </x:c>
      <x:c r="F301" s="48" t="n">
        <x:v>568</x:v>
      </x:c>
      <x:c r="G301" s="47" t="n">
        <x:v>24.5</x:v>
      </x:c>
      <x:c r="H301" s="49" t="str">
        <x:f>IF(G301&lt;=25,"Boa",IF(G301&lt;=50,"Moderada",IF(G301&lt;=75,"Ruim","Muito Ruim")))</x:f>
        <x:v>Boa</x:v>
      </x:c>
    </x:row>
    <x:row r="302" ht="20" customHeight="1">
      <x:c r="A302" s="50" t="n">
        <x:v>46259</x:v>
      </x:c>
      <x:c r="B302" s="51" t="str">
        <x:v>Santo Amaro</x:v>
      </x:c>
      <x:c r="C302" s="52" t="n">
        <x:v>5254</x:v>
      </x:c>
      <x:c r="D302" s="53" t="n">
        <x:v>20.3</x:v>
      </x:c>
      <x:c r="E302" s="54" t="n">
        <x:v>83</x:v>
      </x:c>
      <x:c r="F302" s="54" t="n">
        <x:v>625</x:v>
      </x:c>
      <x:c r="G302" s="53" t="n">
        <x:v>48.3</x:v>
      </x:c>
      <x:c r="H302" s="55" t="str">
        <x:f>IF(G302&lt;=25,"Boa",IF(G302&lt;=50,"Moderada",IF(G302&lt;=75,"Ruim","Muito Ruim")))</x:f>
        <x:v>Moderada</x:v>
      </x:c>
    </x:row>
    <x:row r="303" ht="20" customHeight="1">
      <x:c r="A303" s="44" t="n">
        <x:v>46259</x:v>
      </x:c>
      <x:c r="B303" s="45" t="str">
        <x:v>Itaquera</x:v>
      </x:c>
      <x:c r="C303" s="46" t="n">
        <x:v>7492</x:v>
      </x:c>
      <x:c r="D303" s="47" t="n">
        <x:v>18.1</x:v>
      </x:c>
      <x:c r="E303" s="48" t="n">
        <x:v>87</x:v>
      </x:c>
      <x:c r="F303" s="48" t="n">
        <x:v>649</x:v>
      </x:c>
      <x:c r="G303" s="47" t="n">
        <x:v>46.9</x:v>
      </x:c>
      <x:c r="H303" s="49" t="str">
        <x:f>IF(G303&lt;=25,"Boa",IF(G303&lt;=50,"Moderada",IF(G303&lt;=75,"Ruim","Muito Ruim")))</x:f>
        <x:v>Moderada</x:v>
      </x:c>
    </x:row>
    <x:row r="304" ht="20" customHeight="1">
      <x:c r="A304" s="50" t="n">
        <x:v>46259</x:v>
      </x:c>
      <x:c r="B304" s="51" t="str">
        <x:v>São Mateus</x:v>
      </x:c>
      <x:c r="C304" s="52" t="n">
        <x:v>6117</x:v>
      </x:c>
      <x:c r="D304" s="53" t="n">
        <x:v>22.4</x:v>
      </x:c>
      <x:c r="E304" s="54" t="n">
        <x:v>87</x:v>
      </x:c>
      <x:c r="F304" s="54" t="n">
        <x:v>622</x:v>
      </x:c>
      <x:c r="G304" s="53" t="n">
        <x:v>44.3</x:v>
      </x:c>
      <x:c r="H304" s="55" t="str">
        <x:f>IF(G304&lt;=25,"Boa",IF(G304&lt;=50,"Moderada",IF(G304&lt;=75,"Ruim","Muito Ruim")))</x:f>
        <x:v>Moderada</x:v>
      </x:c>
    </x:row>
    <x:row r="305" ht="20" customHeight="1">
      <x:c r="A305" s="44" t="n">
        <x:v>46260</x:v>
      </x:c>
      <x:c r="B305" s="45" t="str">
        <x:v>Centro</x:v>
      </x:c>
      <x:c r="C305" s="46" t="n">
        <x:v>6770</x:v>
      </x:c>
      <x:c r="D305" s="47" t="n">
        <x:v>21.8</x:v>
      </x:c>
      <x:c r="E305" s="48" t="n">
        <x:v>87</x:v>
      </x:c>
      <x:c r="F305" s="48" t="n">
        <x:v>623</x:v>
      </x:c>
      <x:c r="G305" s="47" t="n">
        <x:v>37</x:v>
      </x:c>
      <x:c r="H305" s="49" t="str">
        <x:f>IF(G305&lt;=25,"Boa",IF(G305&lt;=50,"Moderada",IF(G305&lt;=75,"Ruim","Muito Ruim")))</x:f>
        <x:v>Moderada</x:v>
      </x:c>
    </x:row>
    <x:row r="306" ht="20" customHeight="1">
      <x:c r="A306" s="50" t="n">
        <x:v>46260</x:v>
      </x:c>
      <x:c r="B306" s="51" t="str">
        <x:v>Marginal Tietê</x:v>
      </x:c>
      <x:c r="C306" s="52" t="n">
        <x:v>8713</x:v>
      </x:c>
      <x:c r="D306" s="53" t="n">
        <x:v>24.5</x:v>
      </x:c>
      <x:c r="E306" s="54" t="n">
        <x:v>72</x:v>
      </x:c>
      <x:c r="F306" s="54" t="n">
        <x:v>789</x:v>
      </x:c>
      <x:c r="G306" s="53" t="n">
        <x:v>65.7</x:v>
      </x:c>
      <x:c r="H306" s="55" t="str">
        <x:f>IF(G306&lt;=25,"Boa",IF(G306&lt;=50,"Moderada",IF(G306&lt;=75,"Ruim","Muito Ruim")))</x:f>
        <x:v>Ruim</x:v>
      </x:c>
    </x:row>
    <x:row r="307" ht="20" customHeight="1">
      <x:c r="A307" s="44" t="n">
        <x:v>46260</x:v>
      </x:c>
      <x:c r="B307" s="45" t="str">
        <x:v>Paulista</x:v>
      </x:c>
      <x:c r="C307" s="46" t="n">
        <x:v>7405</x:v>
      </x:c>
      <x:c r="D307" s="47" t="n">
        <x:v>15.8</x:v>
      </x:c>
      <x:c r="E307" s="48" t="n">
        <x:v>82</x:v>
      </x:c>
      <x:c r="F307" s="48" t="n">
        <x:v>715</x:v>
      </x:c>
      <x:c r="G307" s="47" t="n">
        <x:v>57.6</x:v>
      </x:c>
      <x:c r="H307" s="49" t="str">
        <x:f>IF(G307&lt;=25,"Boa",IF(G307&lt;=50,"Moderada",IF(G307&lt;=75,"Ruim","Muito Ruim")))</x:f>
        <x:v>Ruim</x:v>
      </x:c>
    </x:row>
    <x:row r="308" ht="20" customHeight="1">
      <x:c r="A308" s="50" t="n">
        <x:v>46260</x:v>
      </x:c>
      <x:c r="B308" s="51" t="str">
        <x:v>Pinheiros</x:v>
      </x:c>
      <x:c r="C308" s="52" t="n">
        <x:v>4728</x:v>
      </x:c>
      <x:c r="D308" s="53" t="n">
        <x:v>17.2</x:v>
      </x:c>
      <x:c r="E308" s="54" t="n">
        <x:v>87</x:v>
      </x:c>
      <x:c r="F308" s="54" t="n">
        <x:v>620</x:v>
      </x:c>
      <x:c r="G308" s="53" t="n">
        <x:v>44.2</x:v>
      </x:c>
      <x:c r="H308" s="55" t="str">
        <x:f>IF(G308&lt;=25,"Boa",IF(G308&lt;=50,"Moderada",IF(G308&lt;=75,"Ruim","Muito Ruim")))</x:f>
        <x:v>Moderada</x:v>
      </x:c>
    </x:row>
    <x:row r="309" ht="20" customHeight="1">
      <x:c r="A309" s="44" t="n">
        <x:v>46260</x:v>
      </x:c>
      <x:c r="B309" s="45" t="str">
        <x:v>Zona Sul (Ibirapuera)</x:v>
      </x:c>
      <x:c r="C309" s="46" t="n">
        <x:v>4839</x:v>
      </x:c>
      <x:c r="D309" s="47" t="n">
        <x:v>20.7</x:v>
      </x:c>
      <x:c r="E309" s="48" t="n">
        <x:v>81</x:v>
      </x:c>
      <x:c r="F309" s="48" t="n">
        <x:v>607</x:v>
      </x:c>
      <x:c r="G309" s="47" t="n">
        <x:v>35.4</x:v>
      </x:c>
      <x:c r="H309" s="49" t="str">
        <x:f>IF(G309&lt;=25,"Boa",IF(G309&lt;=50,"Moderada",IF(G309&lt;=75,"Ruim","Muito Ruim")))</x:f>
        <x:v>Moderada</x:v>
      </x:c>
    </x:row>
    <x:row r="310" ht="20" customHeight="1">
      <x:c r="A310" s="50" t="n">
        <x:v>46260</x:v>
      </x:c>
      <x:c r="B310" s="51" t="str">
        <x:v>Vila Mariana</x:v>
      </x:c>
      <x:c r="C310" s="52" t="n">
        <x:v>4232</x:v>
      </x:c>
      <x:c r="D310" s="53" t="n">
        <x:v>24.5</x:v>
      </x:c>
      <x:c r="E310" s="54" t="n">
        <x:v>81</x:v>
      </x:c>
      <x:c r="F310" s="54" t="n">
        <x:v>624</x:v>
      </x:c>
      <x:c r="G310" s="53" t="n">
        <x:v>37.2</x:v>
      </x:c>
      <x:c r="H310" s="55" t="str">
        <x:f>IF(G310&lt;=25,"Boa",IF(G310&lt;=50,"Moderada",IF(G310&lt;=75,"Ruim","Muito Ruim")))</x:f>
        <x:v>Moderada</x:v>
      </x:c>
    </x:row>
    <x:row r="311" ht="20" customHeight="1">
      <x:c r="A311" s="44" t="n">
        <x:v>46260</x:v>
      </x:c>
      <x:c r="B311" s="45" t="str">
        <x:v>Santana</x:v>
      </x:c>
      <x:c r="C311" s="46" t="n">
        <x:v>5993</x:v>
      </x:c>
      <x:c r="D311" s="47" t="n">
        <x:v>24.5</x:v>
      </x:c>
      <x:c r="E311" s="48" t="n">
        <x:v>76</x:v>
      </x:c>
      <x:c r="F311" s="48" t="n">
        <x:v>602</x:v>
      </x:c>
      <x:c r="G311" s="47" t="n">
        <x:v>29.4</x:v>
      </x:c>
      <x:c r="H311" s="49" t="str">
        <x:f>IF(G311&lt;=25,"Boa",IF(G311&lt;=50,"Moderada",IF(G311&lt;=75,"Ruim","Muito Ruim")))</x:f>
        <x:v>Moderada</x:v>
      </x:c>
    </x:row>
    <x:row r="312" ht="20" customHeight="1">
      <x:c r="A312" s="50" t="n">
        <x:v>46260</x:v>
      </x:c>
      <x:c r="B312" s="51" t="str">
        <x:v>Lapa</x:v>
      </x:c>
      <x:c r="C312" s="52" t="n">
        <x:v>4134</x:v>
      </x:c>
      <x:c r="D312" s="53" t="n">
        <x:v>22.9</x:v>
      </x:c>
      <x:c r="E312" s="54" t="n">
        <x:v>79</x:v>
      </x:c>
      <x:c r="F312" s="54" t="n">
        <x:v>594</x:v>
      </x:c>
      <x:c r="G312" s="53" t="n">
        <x:v>39.3</x:v>
      </x:c>
      <x:c r="H312" s="55" t="str">
        <x:f>IF(G312&lt;=25,"Boa",IF(G312&lt;=50,"Moderada",IF(G312&lt;=75,"Ruim","Muito Ruim")))</x:f>
        <x:v>Moderada</x:v>
      </x:c>
    </x:row>
    <x:row r="313" ht="20" customHeight="1">
      <x:c r="A313" s="44" t="n">
        <x:v>46260</x:v>
      </x:c>
      <x:c r="B313" s="45" t="str">
        <x:v>Moema</x:v>
      </x:c>
      <x:c r="C313" s="46" t="n">
        <x:v>4800</x:v>
      </x:c>
      <x:c r="D313" s="47" t="n">
        <x:v>20.3</x:v>
      </x:c>
      <x:c r="E313" s="48" t="n">
        <x:v>78</x:v>
      </x:c>
      <x:c r="F313" s="48" t="n">
        <x:v>535</x:v>
      </x:c>
      <x:c r="G313" s="47" t="n">
        <x:v>28.7</x:v>
      </x:c>
      <x:c r="H313" s="49" t="str">
        <x:f>IF(G313&lt;=25,"Boa",IF(G313&lt;=50,"Moderada",IF(G313&lt;=75,"Ruim","Muito Ruim")))</x:f>
        <x:v>Moderada</x:v>
      </x:c>
    </x:row>
    <x:row r="314" ht="20" customHeight="1">
      <x:c r="A314" s="50" t="n">
        <x:v>46260</x:v>
      </x:c>
      <x:c r="B314" s="51" t="str">
        <x:v>Santo Amaro</x:v>
      </x:c>
      <x:c r="C314" s="52" t="n">
        <x:v>5286</x:v>
      </x:c>
      <x:c r="D314" s="53" t="n">
        <x:v>25</x:v>
      </x:c>
      <x:c r="E314" s="54" t="n">
        <x:v>79</x:v>
      </x:c>
      <x:c r="F314" s="54" t="n">
        <x:v>600</x:v>
      </x:c>
      <x:c r="G314" s="53" t="n">
        <x:v>42.2</x:v>
      </x:c>
      <x:c r="H314" s="55" t="str">
        <x:f>IF(G314&lt;=25,"Boa",IF(G314&lt;=50,"Moderada",IF(G314&lt;=75,"Ruim","Muito Ruim")))</x:f>
        <x:v>Moderada</x:v>
      </x:c>
    </x:row>
    <x:row r="315" ht="20" customHeight="1">
      <x:c r="A315" s="44" t="n">
        <x:v>46260</x:v>
      </x:c>
      <x:c r="B315" s="45" t="str">
        <x:v>Itaquera</x:v>
      </x:c>
      <x:c r="C315" s="46" t="n">
        <x:v>7838</x:v>
      </x:c>
      <x:c r="D315" s="47" t="n">
        <x:v>18.2</x:v>
      </x:c>
      <x:c r="E315" s="48" t="n">
        <x:v>84</x:v>
      </x:c>
      <x:c r="F315" s="48" t="n">
        <x:v>648</x:v>
      </x:c>
      <x:c r="G315" s="47" t="n">
        <x:v>36.7</x:v>
      </x:c>
      <x:c r="H315" s="49" t="str">
        <x:f>IF(G315&lt;=25,"Boa",IF(G315&lt;=50,"Moderada",IF(G315&lt;=75,"Ruim","Muito Ruim")))</x:f>
        <x:v>Moderada</x:v>
      </x:c>
    </x:row>
    <x:row r="316" ht="20" customHeight="1">
      <x:c r="A316" s="50" t="n">
        <x:v>46260</x:v>
      </x:c>
      <x:c r="B316" s="51" t="str">
        <x:v>São Mateus</x:v>
      </x:c>
      <x:c r="C316" s="52" t="n">
        <x:v>5680</x:v>
      </x:c>
      <x:c r="D316" s="53" t="n">
        <x:v>17.5</x:v>
      </x:c>
      <x:c r="E316" s="54" t="n">
        <x:v>79</x:v>
      </x:c>
      <x:c r="F316" s="54" t="n">
        <x:v>677</x:v>
      </x:c>
      <x:c r="G316" s="53" t="n">
        <x:v>38.6</x:v>
      </x:c>
      <x:c r="H316" s="55" t="str">
        <x:f>IF(G316&lt;=25,"Boa",IF(G316&lt;=50,"Moderada",IF(G316&lt;=75,"Ruim","Muito Ruim")))</x:f>
        <x:v>Moderada</x:v>
      </x:c>
    </x:row>
    <x:row r="317" ht="20" customHeight="1">
      <x:c r="A317" s="44" t="n">
        <x:v>46261</x:v>
      </x:c>
      <x:c r="B317" s="45" t="str">
        <x:v>Centro</x:v>
      </x:c>
      <x:c r="C317" s="46" t="n">
        <x:v>5910</x:v>
      </x:c>
      <x:c r="D317" s="47" t="n">
        <x:v>20.5</x:v>
      </x:c>
      <x:c r="E317" s="48" t="n">
        <x:v>85</x:v>
      </x:c>
      <x:c r="F317" s="48" t="n">
        <x:v>648</x:v>
      </x:c>
      <x:c r="G317" s="47" t="n">
        <x:v>28.9</x:v>
      </x:c>
      <x:c r="H317" s="49" t="str">
        <x:f>IF(G317&lt;=25,"Boa",IF(G317&lt;=50,"Moderada",IF(G317&lt;=75,"Ruim","Muito Ruim")))</x:f>
        <x:v>Moderada</x:v>
      </x:c>
    </x:row>
    <x:row r="318" ht="20" customHeight="1">
      <x:c r="A318" s="50" t="n">
        <x:v>46261</x:v>
      </x:c>
      <x:c r="B318" s="51" t="str">
        <x:v>Marginal Tietê</x:v>
      </x:c>
      <x:c r="C318" s="52" t="n">
        <x:v>9238</x:v>
      </x:c>
      <x:c r="D318" s="53" t="n">
        <x:v>21.6</x:v>
      </x:c>
      <x:c r="E318" s="54" t="n">
        <x:v>85</x:v>
      </x:c>
      <x:c r="F318" s="54" t="n">
        <x:v>758</x:v>
      </x:c>
      <x:c r="G318" s="53" t="n">
        <x:v>51.4</x:v>
      </x:c>
      <x:c r="H318" s="55" t="str">
        <x:f>IF(G318&lt;=25,"Boa",IF(G318&lt;=50,"Moderada",IF(G318&lt;=75,"Ruim","Muito Ruim")))</x:f>
        <x:v>Ruim</x:v>
      </x:c>
    </x:row>
    <x:row r="319" ht="20" customHeight="1">
      <x:c r="A319" s="44" t="n">
        <x:v>46261</x:v>
      </x:c>
      <x:c r="B319" s="45" t="str">
        <x:v>Paulista</x:v>
      </x:c>
      <x:c r="C319" s="46" t="n">
        <x:v>6729</x:v>
      </x:c>
      <x:c r="D319" s="47" t="n">
        <x:v>17.9</x:v>
      </x:c>
      <x:c r="E319" s="48" t="n">
        <x:v>77</x:v>
      </x:c>
      <x:c r="F319" s="48" t="n">
        <x:v>629</x:v>
      </x:c>
      <x:c r="G319" s="47" t="n">
        <x:v>32.5</x:v>
      </x:c>
      <x:c r="H319" s="49" t="str">
        <x:f>IF(G319&lt;=25,"Boa",IF(G319&lt;=50,"Moderada",IF(G319&lt;=75,"Ruim","Muito Ruim")))</x:f>
        <x:v>Moderada</x:v>
      </x:c>
    </x:row>
    <x:row r="320" ht="20" customHeight="1">
      <x:c r="A320" s="50" t="n">
        <x:v>46261</x:v>
      </x:c>
      <x:c r="B320" s="51" t="str">
        <x:v>Pinheiros</x:v>
      </x:c>
      <x:c r="C320" s="52" t="n">
        <x:v>5247</x:v>
      </x:c>
      <x:c r="D320" s="53" t="n">
        <x:v>17.1</x:v>
      </x:c>
      <x:c r="E320" s="54" t="n">
        <x:v>79</x:v>
      </x:c>
      <x:c r="F320" s="54" t="n">
        <x:v>611</x:v>
      </x:c>
      <x:c r="G320" s="53" t="n">
        <x:v>41</x:v>
      </x:c>
      <x:c r="H320" s="55" t="str">
        <x:f>IF(G320&lt;=25,"Boa",IF(G320&lt;=50,"Moderada",IF(G320&lt;=75,"Ruim","Muito Ruim")))</x:f>
        <x:v>Moderada</x:v>
      </x:c>
    </x:row>
    <x:row r="321" ht="20" customHeight="1">
      <x:c r="A321" s="44" t="n">
        <x:v>46261</x:v>
      </x:c>
      <x:c r="B321" s="45" t="str">
        <x:v>Zona Sul (Ibirapuera)</x:v>
      </x:c>
      <x:c r="C321" s="46" t="n">
        <x:v>3627</x:v>
      </x:c>
      <x:c r="D321" s="47" t="n">
        <x:v>21.8</x:v>
      </x:c>
      <x:c r="E321" s="48" t="n">
        <x:v>75</x:v>
      </x:c>
      <x:c r="F321" s="48" t="n">
        <x:v>586</x:v>
      </x:c>
      <x:c r="G321" s="47" t="n">
        <x:v>26</x:v>
      </x:c>
      <x:c r="H321" s="49" t="str">
        <x:f>IF(G321&lt;=25,"Boa",IF(G321&lt;=50,"Moderada",IF(G321&lt;=75,"Ruim","Muito Ruim")))</x:f>
        <x:v>Moderada</x:v>
      </x:c>
    </x:row>
    <x:row r="322" ht="20" customHeight="1">
      <x:c r="A322" s="50" t="n">
        <x:v>46261</x:v>
      </x:c>
      <x:c r="B322" s="51" t="str">
        <x:v>Vila Mariana</x:v>
      </x:c>
      <x:c r="C322" s="52" t="n">
        <x:v>5821</x:v>
      </x:c>
      <x:c r="D322" s="53" t="n">
        <x:v>24.9</x:v>
      </x:c>
      <x:c r="E322" s="54" t="n">
        <x:v>75</x:v>
      </x:c>
      <x:c r="F322" s="54" t="n">
        <x:v>637</x:v>
      </x:c>
      <x:c r="G322" s="53" t="n">
        <x:v>31.6</x:v>
      </x:c>
      <x:c r="H322" s="55" t="str">
        <x:f>IF(G322&lt;=25,"Boa",IF(G322&lt;=50,"Moderada",IF(G322&lt;=75,"Ruim","Muito Ruim")))</x:f>
        <x:v>Moderada</x:v>
      </x:c>
    </x:row>
    <x:row r="323" ht="20" customHeight="1">
      <x:c r="A323" s="44" t="n">
        <x:v>46261</x:v>
      </x:c>
      <x:c r="B323" s="45" t="str">
        <x:v>Santana</x:v>
      </x:c>
      <x:c r="C323" s="46" t="n">
        <x:v>6239</x:v>
      </x:c>
      <x:c r="D323" s="47" t="n">
        <x:v>16.3</x:v>
      </x:c>
      <x:c r="E323" s="48" t="n">
        <x:v>79</x:v>
      </x:c>
      <x:c r="F323" s="48" t="n">
        <x:v>661</x:v>
      </x:c>
      <x:c r="G323" s="47" t="n">
        <x:v>32.9</x:v>
      </x:c>
      <x:c r="H323" s="49" t="str">
        <x:f>IF(G323&lt;=25,"Boa",IF(G323&lt;=50,"Moderada",IF(G323&lt;=75,"Ruim","Muito Ruim")))</x:f>
        <x:v>Moderada</x:v>
      </x:c>
    </x:row>
    <x:row r="324" ht="20" customHeight="1">
      <x:c r="A324" s="50" t="n">
        <x:v>46261</x:v>
      </x:c>
      <x:c r="B324" s="51" t="str">
        <x:v>Lapa</x:v>
      </x:c>
      <x:c r="C324" s="52" t="n">
        <x:v>4789</x:v>
      </x:c>
      <x:c r="D324" s="53" t="n">
        <x:v>18.4</x:v>
      </x:c>
      <x:c r="E324" s="54" t="n">
        <x:v>77</x:v>
      </x:c>
      <x:c r="F324" s="54" t="n">
        <x:v>619</x:v>
      </x:c>
      <x:c r="G324" s="53" t="n">
        <x:v>27.8</x:v>
      </x:c>
      <x:c r="H324" s="55" t="str">
        <x:f>IF(G324&lt;=25,"Boa",IF(G324&lt;=50,"Moderada",IF(G324&lt;=75,"Ruim","Muito Ruim")))</x:f>
        <x:v>Moderada</x:v>
      </x:c>
    </x:row>
    <x:row r="325" ht="20" customHeight="1">
      <x:c r="A325" s="44" t="n">
        <x:v>46261</x:v>
      </x:c>
      <x:c r="B325" s="45" t="str">
        <x:v>Moema</x:v>
      </x:c>
      <x:c r="C325" s="46" t="n">
        <x:v>3792</x:v>
      </x:c>
      <x:c r="D325" s="47" t="n">
        <x:v>21.4</x:v>
      </x:c>
      <x:c r="E325" s="48" t="n">
        <x:v>83</x:v>
      </x:c>
      <x:c r="F325" s="48" t="n">
        <x:v>585</x:v>
      </x:c>
      <x:c r="G325" s="47" t="n">
        <x:v>16.8</x:v>
      </x:c>
      <x:c r="H325" s="49" t="str">
        <x:f>IF(G325&lt;=25,"Boa",IF(G325&lt;=50,"Moderada",IF(G325&lt;=75,"Ruim","Muito Ruim")))</x:f>
        <x:v>Boa</x:v>
      </x:c>
    </x:row>
    <x:row r="326" ht="20" customHeight="1">
      <x:c r="A326" s="50" t="n">
        <x:v>46261</x:v>
      </x:c>
      <x:c r="B326" s="51" t="str">
        <x:v>Santo Amaro</x:v>
      </x:c>
      <x:c r="C326" s="52" t="n">
        <x:v>5520</x:v>
      </x:c>
      <x:c r="D326" s="53" t="n">
        <x:v>17.6</x:v>
      </x:c>
      <x:c r="E326" s="54" t="n">
        <x:v>77</x:v>
      </x:c>
      <x:c r="F326" s="54" t="n">
        <x:v>665</x:v>
      </x:c>
      <x:c r="G326" s="53" t="n">
        <x:v>37.9</x:v>
      </x:c>
      <x:c r="H326" s="55" t="str">
        <x:f>IF(G326&lt;=25,"Boa",IF(G326&lt;=50,"Moderada",IF(G326&lt;=75,"Ruim","Muito Ruim")))</x:f>
        <x:v>Moderada</x:v>
      </x:c>
    </x:row>
    <x:row r="327" ht="20" customHeight="1">
      <x:c r="A327" s="44" t="n">
        <x:v>46261</x:v>
      </x:c>
      <x:c r="B327" s="45" t="str">
        <x:v>Itaquera</x:v>
      </x:c>
      <x:c r="C327" s="46" t="n">
        <x:v>7444</x:v>
      </x:c>
      <x:c r="D327" s="47" t="n">
        <x:v>17</x:v>
      </x:c>
      <x:c r="E327" s="48" t="n">
        <x:v>84</x:v>
      </x:c>
      <x:c r="F327" s="48" t="n">
        <x:v>652</x:v>
      </x:c>
      <x:c r="G327" s="47" t="n">
        <x:v>48.3</x:v>
      </x:c>
      <x:c r="H327" s="49" t="str">
        <x:f>IF(G327&lt;=25,"Boa",IF(G327&lt;=50,"Moderada",IF(G327&lt;=75,"Ruim","Muito Ruim")))</x:f>
        <x:v>Moderada</x:v>
      </x:c>
    </x:row>
    <x:row r="328" ht="20" customHeight="1">
      <x:c r="A328" s="50" t="n">
        <x:v>46261</x:v>
      </x:c>
      <x:c r="B328" s="51" t="str">
        <x:v>São Mateus</x:v>
      </x:c>
      <x:c r="C328" s="52" t="n">
        <x:v>5928</x:v>
      </x:c>
      <x:c r="D328" s="53" t="n">
        <x:v>24.9</x:v>
      </x:c>
      <x:c r="E328" s="54" t="n">
        <x:v>87</x:v>
      </x:c>
      <x:c r="F328" s="54" t="n">
        <x:v>631</x:v>
      </x:c>
      <x:c r="G328" s="53" t="n">
        <x:v>31.8</x:v>
      </x:c>
      <x:c r="H328" s="55" t="str">
        <x:f>IF(G328&lt;=25,"Boa",IF(G328&lt;=50,"Moderada",IF(G328&lt;=75,"Ruim","Muito Ruim")))</x:f>
        <x:v>Moderada</x:v>
      </x:c>
    </x:row>
    <x:row r="329" ht="20" customHeight="1">
      <x:c r="A329" s="44" t="n">
        <x:v>46262</x:v>
      </x:c>
      <x:c r="B329" s="45" t="str">
        <x:v>Centro</x:v>
      </x:c>
      <x:c r="C329" s="46" t="n">
        <x:v>5098</x:v>
      </x:c>
      <x:c r="D329" s="47" t="n">
        <x:v>19.5</x:v>
      </x:c>
      <x:c r="E329" s="48" t="n">
        <x:v>86</x:v>
      </x:c>
      <x:c r="F329" s="48" t="n">
        <x:v>656</x:v>
      </x:c>
      <x:c r="G329" s="47" t="n">
        <x:v>32.7</x:v>
      </x:c>
      <x:c r="H329" s="49" t="str">
        <x:f>IF(G329&lt;=25,"Boa",IF(G329&lt;=50,"Moderada",IF(G329&lt;=75,"Ruim","Muito Ruim")))</x:f>
        <x:v>Moderada</x:v>
      </x:c>
    </x:row>
    <x:row r="330" ht="20" customHeight="1">
      <x:c r="A330" s="50" t="n">
        <x:v>46262</x:v>
      </x:c>
      <x:c r="B330" s="51" t="str">
        <x:v>Marginal Tietê</x:v>
      </x:c>
      <x:c r="C330" s="52" t="n">
        <x:v>8465</x:v>
      </x:c>
      <x:c r="D330" s="53" t="n">
        <x:v>22.9</x:v>
      </x:c>
      <x:c r="E330" s="54" t="n">
        <x:v>69</x:v>
      </x:c>
      <x:c r="F330" s="54" t="n">
        <x:v>787</x:v>
      </x:c>
      <x:c r="G330" s="53" t="n">
        <x:v>43.7</x:v>
      </x:c>
      <x:c r="H330" s="55" t="str">
        <x:f>IF(G330&lt;=25,"Boa",IF(G330&lt;=50,"Moderada",IF(G330&lt;=75,"Ruim","Muito Ruim")))</x:f>
        <x:v>Moderada</x:v>
      </x:c>
    </x:row>
    <x:row r="331" ht="20" customHeight="1">
      <x:c r="A331" s="44" t="n">
        <x:v>46262</x:v>
      </x:c>
      <x:c r="B331" s="45" t="str">
        <x:v>Paulista</x:v>
      </x:c>
      <x:c r="C331" s="46" t="n">
        <x:v>5672</x:v>
      </x:c>
      <x:c r="D331" s="47" t="n">
        <x:v>17.6</x:v>
      </x:c>
      <x:c r="E331" s="48" t="n">
        <x:v>86</x:v>
      </x:c>
      <x:c r="F331" s="48" t="n">
        <x:v>668</x:v>
      </x:c>
      <x:c r="G331" s="47" t="n">
        <x:v>41.8</x:v>
      </x:c>
      <x:c r="H331" s="49" t="str">
        <x:f>IF(G331&lt;=25,"Boa",IF(G331&lt;=50,"Moderada",IF(G331&lt;=75,"Ruim","Muito Ruim")))</x:f>
        <x:v>Moderada</x:v>
      </x:c>
    </x:row>
    <x:row r="332" ht="20" customHeight="1">
      <x:c r="A332" s="50" t="n">
        <x:v>46262</x:v>
      </x:c>
      <x:c r="B332" s="51" t="str">
        <x:v>Pinheiros</x:v>
      </x:c>
      <x:c r="C332" s="52" t="n">
        <x:v>5375</x:v>
      </x:c>
      <x:c r="D332" s="53" t="n">
        <x:v>19.1</x:v>
      </x:c>
      <x:c r="E332" s="54" t="n">
        <x:v>79</x:v>
      </x:c>
      <x:c r="F332" s="54" t="n">
        <x:v>604</x:v>
      </x:c>
      <x:c r="G332" s="53" t="n">
        <x:v>40.1</x:v>
      </x:c>
      <x:c r="H332" s="55" t="str">
        <x:f>IF(G332&lt;=25,"Boa",IF(G332&lt;=50,"Moderada",IF(G332&lt;=75,"Ruim","Muito Ruim")))</x:f>
        <x:v>Moderada</x:v>
      </x:c>
    </x:row>
    <x:row r="333" ht="20" customHeight="1">
      <x:c r="A333" s="44" t="n">
        <x:v>46262</x:v>
      </x:c>
      <x:c r="B333" s="45" t="str">
        <x:v>Zona Sul (Ibirapuera)</x:v>
      </x:c>
      <x:c r="C333" s="46" t="n">
        <x:v>5936</x:v>
      </x:c>
      <x:c r="D333" s="47" t="n">
        <x:v>23.1</x:v>
      </x:c>
      <x:c r="E333" s="48" t="n">
        <x:v>70</x:v>
      </x:c>
      <x:c r="F333" s="48" t="n">
        <x:v>584</x:v>
      </x:c>
      <x:c r="G333" s="47" t="n">
        <x:v>35.5</x:v>
      </x:c>
      <x:c r="H333" s="49" t="str">
        <x:f>IF(G333&lt;=25,"Boa",IF(G333&lt;=50,"Moderada",IF(G333&lt;=75,"Ruim","Muito Ruim")))</x:f>
        <x:v>Moderada</x:v>
      </x:c>
    </x:row>
    <x:row r="334" ht="20" customHeight="1">
      <x:c r="A334" s="50" t="n">
        <x:v>46262</x:v>
      </x:c>
      <x:c r="B334" s="51" t="str">
        <x:v>Vila Mariana</x:v>
      </x:c>
      <x:c r="C334" s="52" t="n">
        <x:v>5265</x:v>
      </x:c>
      <x:c r="D334" s="53" t="n">
        <x:v>21.8</x:v>
      </x:c>
      <x:c r="E334" s="54" t="n">
        <x:v>79</x:v>
      </x:c>
      <x:c r="F334" s="54" t="n">
        <x:v>622</x:v>
      </x:c>
      <x:c r="G334" s="53" t="n">
        <x:v>32.4</x:v>
      </x:c>
      <x:c r="H334" s="55" t="str">
        <x:f>IF(G334&lt;=25,"Boa",IF(G334&lt;=50,"Moderada",IF(G334&lt;=75,"Ruim","Muito Ruim")))</x:f>
        <x:v>Moderada</x:v>
      </x:c>
    </x:row>
    <x:row r="335" ht="20" customHeight="1">
      <x:c r="A335" s="44" t="n">
        <x:v>46262</x:v>
      </x:c>
      <x:c r="B335" s="45" t="str">
        <x:v>Santana</x:v>
      </x:c>
      <x:c r="C335" s="46" t="n">
        <x:v>6931</x:v>
      </x:c>
      <x:c r="D335" s="47" t="n">
        <x:v>21.2</x:v>
      </x:c>
      <x:c r="E335" s="48" t="n">
        <x:v>72</x:v>
      </x:c>
      <x:c r="F335" s="48" t="n">
        <x:v>671</x:v>
      </x:c>
      <x:c r="G335" s="47" t="n">
        <x:v>32.2</x:v>
      </x:c>
      <x:c r="H335" s="49" t="str">
        <x:f>IF(G335&lt;=25,"Boa",IF(G335&lt;=50,"Moderada",IF(G335&lt;=75,"Ruim","Muito Ruim")))</x:f>
        <x:v>Moderada</x:v>
      </x:c>
    </x:row>
    <x:row r="336" ht="20" customHeight="1">
      <x:c r="A336" s="50" t="n">
        <x:v>46262</x:v>
      </x:c>
      <x:c r="B336" s="51" t="str">
        <x:v>Lapa</x:v>
      </x:c>
      <x:c r="C336" s="52" t="n">
        <x:v>4865</x:v>
      </x:c>
      <x:c r="D336" s="53" t="n">
        <x:v>23.1</x:v>
      </x:c>
      <x:c r="E336" s="54" t="n">
        <x:v>71</x:v>
      </x:c>
      <x:c r="F336" s="54" t="n">
        <x:v>546</x:v>
      </x:c>
      <x:c r="G336" s="53" t="n">
        <x:v>35.7</x:v>
      </x:c>
      <x:c r="H336" s="55" t="str">
        <x:f>IF(G336&lt;=25,"Boa",IF(G336&lt;=50,"Moderada",IF(G336&lt;=75,"Ruim","Muito Ruim")))</x:f>
        <x:v>Moderada</x:v>
      </x:c>
    </x:row>
    <x:row r="337" ht="20" customHeight="1">
      <x:c r="A337" s="44" t="n">
        <x:v>46262</x:v>
      </x:c>
      <x:c r="B337" s="45" t="str">
        <x:v>Moema</x:v>
      </x:c>
      <x:c r="C337" s="46" t="n">
        <x:v>3632</x:v>
      </x:c>
      <x:c r="D337" s="47" t="n">
        <x:v>24.9</x:v>
      </x:c>
      <x:c r="E337" s="48" t="n">
        <x:v>74</x:v>
      </x:c>
      <x:c r="F337" s="48" t="n">
        <x:v>511</x:v>
      </x:c>
      <x:c r="G337" s="47" t="n">
        <x:v>19.9</x:v>
      </x:c>
      <x:c r="H337" s="49" t="str">
        <x:f>IF(G337&lt;=25,"Boa",IF(G337&lt;=50,"Moderada",IF(G337&lt;=75,"Ruim","Muito Ruim")))</x:f>
        <x:v>Boa</x:v>
      </x:c>
    </x:row>
    <x:row r="338" ht="20" customHeight="1">
      <x:c r="A338" s="50" t="n">
        <x:v>46262</x:v>
      </x:c>
      <x:c r="B338" s="51" t="str">
        <x:v>Santo Amaro</x:v>
      </x:c>
      <x:c r="C338" s="52" t="n">
        <x:v>6909</x:v>
      </x:c>
      <x:c r="D338" s="53" t="n">
        <x:v>17.2</x:v>
      </x:c>
      <x:c r="E338" s="54" t="n">
        <x:v>84</x:v>
      </x:c>
      <x:c r="F338" s="54" t="n">
        <x:v>626</x:v>
      </x:c>
      <x:c r="G338" s="53" t="n">
        <x:v>50.4</x:v>
      </x:c>
      <x:c r="H338" s="55" t="str">
        <x:f>IF(G338&lt;=25,"Boa",IF(G338&lt;=50,"Moderada",IF(G338&lt;=75,"Ruim","Muito Ruim")))</x:f>
        <x:v>Ruim</x:v>
      </x:c>
    </x:row>
    <x:row r="339" ht="20" customHeight="1">
      <x:c r="A339" s="44" t="n">
        <x:v>46262</x:v>
      </x:c>
      <x:c r="B339" s="45" t="str">
        <x:v>Itaquera</x:v>
      </x:c>
      <x:c r="C339" s="46" t="n">
        <x:v>6392</x:v>
      </x:c>
      <x:c r="D339" s="47" t="n">
        <x:v>16.5</x:v>
      </x:c>
      <x:c r="E339" s="48" t="n">
        <x:v>77</x:v>
      </x:c>
      <x:c r="F339" s="48" t="n">
        <x:v>685</x:v>
      </x:c>
      <x:c r="G339" s="47" t="n">
        <x:v>34.4</x:v>
      </x:c>
      <x:c r="H339" s="49" t="str">
        <x:f>IF(G339&lt;=25,"Boa",IF(G339&lt;=50,"Moderada",IF(G339&lt;=75,"Ruim","Muito Ruim")))</x:f>
        <x:v>Moderada</x:v>
      </x:c>
    </x:row>
    <x:row r="340" ht="20" customHeight="1">
      <x:c r="A340" s="50" t="n">
        <x:v>46262</x:v>
      </x:c>
      <x:c r="B340" s="51" t="str">
        <x:v>São Mateus</x:v>
      </x:c>
      <x:c r="C340" s="52" t="n">
        <x:v>7145</x:v>
      </x:c>
      <x:c r="D340" s="53" t="n">
        <x:v>17.4</x:v>
      </x:c>
      <x:c r="E340" s="54" t="n">
        <x:v>82</x:v>
      </x:c>
      <x:c r="F340" s="54" t="n">
        <x:v>628</x:v>
      </x:c>
      <x:c r="G340" s="53" t="n">
        <x:v>44.7</x:v>
      </x:c>
      <x:c r="H340" s="55" t="str">
        <x:f>IF(G340&lt;=25,"Boa",IF(G340&lt;=50,"Moderada",IF(G340&lt;=75,"Ruim","Muito Ruim")))</x:f>
        <x:v>Moderada</x:v>
      </x:c>
    </x:row>
    <x:row r="341" ht="20" customHeight="1">
      <x:c r="A341" s="44" t="n">
        <x:v>46263</x:v>
      </x:c>
      <x:c r="B341" s="45" t="str">
        <x:v>Centro</x:v>
      </x:c>
      <x:c r="C341" s="46" t="n">
        <x:v>7054</x:v>
      </x:c>
      <x:c r="D341" s="47" t="n">
        <x:v>17.7</x:v>
      </x:c>
      <x:c r="E341" s="48" t="n">
        <x:v>78</x:v>
      </x:c>
      <x:c r="F341" s="48" t="n">
        <x:v>665</x:v>
      </x:c>
      <x:c r="G341" s="47" t="n">
        <x:v>34.2</x:v>
      </x:c>
      <x:c r="H341" s="49" t="str">
        <x:f>IF(G341&lt;=25,"Boa",IF(G341&lt;=50,"Moderada",IF(G341&lt;=75,"Ruim","Muito Ruim")))</x:f>
        <x:v>Moderada</x:v>
      </x:c>
    </x:row>
    <x:row r="342" ht="20" customHeight="1">
      <x:c r="A342" s="50" t="n">
        <x:v>46263</x:v>
      </x:c>
      <x:c r="B342" s="51" t="str">
        <x:v>Marginal Tietê</x:v>
      </x:c>
      <x:c r="C342" s="52" t="n">
        <x:v>9067</x:v>
      </x:c>
      <x:c r="D342" s="53" t="n">
        <x:v>25.4</x:v>
      </x:c>
      <x:c r="E342" s="54" t="n">
        <x:v>81</x:v>
      </x:c>
      <x:c r="F342" s="54" t="n">
        <x:v>812</x:v>
      </x:c>
      <x:c r="G342" s="53" t="n">
        <x:v>57.6</x:v>
      </x:c>
      <x:c r="H342" s="55" t="str">
        <x:f>IF(G342&lt;=25,"Boa",IF(G342&lt;=50,"Moderada",IF(G342&lt;=75,"Ruim","Muito Ruim")))</x:f>
        <x:v>Ruim</x:v>
      </x:c>
    </x:row>
    <x:row r="343" ht="20" customHeight="1">
      <x:c r="A343" s="44" t="n">
        <x:v>46263</x:v>
      </x:c>
      <x:c r="B343" s="45" t="str">
        <x:v>Paulista</x:v>
      </x:c>
      <x:c r="C343" s="46" t="n">
        <x:v>5480</x:v>
      </x:c>
      <x:c r="D343" s="47" t="n">
        <x:v>24.8</x:v>
      </x:c>
      <x:c r="E343" s="48" t="n">
        <x:v>80</x:v>
      </x:c>
      <x:c r="F343" s="48" t="n">
        <x:v>634</x:v>
      </x:c>
      <x:c r="G343" s="47" t="n">
        <x:v>47.6</x:v>
      </x:c>
      <x:c r="H343" s="49" t="str">
        <x:f>IF(G343&lt;=25,"Boa",IF(G343&lt;=50,"Moderada",IF(G343&lt;=75,"Ruim","Muito Ruim")))</x:f>
        <x:v>Moderada</x:v>
      </x:c>
    </x:row>
    <x:row r="344" ht="20" customHeight="1">
      <x:c r="A344" s="50" t="n">
        <x:v>46263</x:v>
      </x:c>
      <x:c r="B344" s="51" t="str">
        <x:v>Pinheiros</x:v>
      </x:c>
      <x:c r="C344" s="52" t="n">
        <x:v>4024</x:v>
      </x:c>
      <x:c r="D344" s="53" t="n">
        <x:v>20.6</x:v>
      </x:c>
      <x:c r="E344" s="54" t="n">
        <x:v>73</x:v>
      </x:c>
      <x:c r="F344" s="54" t="n">
        <x:v>555</x:v>
      </x:c>
      <x:c r="G344" s="53" t="n">
        <x:v>36.6</x:v>
      </x:c>
      <x:c r="H344" s="55" t="str">
        <x:f>IF(G344&lt;=25,"Boa",IF(G344&lt;=50,"Moderada",IF(G344&lt;=75,"Ruim","Muito Ruim")))</x:f>
        <x:v>Moderada</x:v>
      </x:c>
    </x:row>
    <x:row r="345" ht="20" customHeight="1">
      <x:c r="A345" s="44" t="n">
        <x:v>46263</x:v>
      </x:c>
      <x:c r="B345" s="45" t="str">
        <x:v>Zona Sul (Ibirapuera)</x:v>
      </x:c>
      <x:c r="C345" s="46" t="n">
        <x:v>4801</x:v>
      </x:c>
      <x:c r="D345" s="47" t="n">
        <x:v>22.5</x:v>
      </x:c>
      <x:c r="E345" s="48" t="n">
        <x:v>82</x:v>
      </x:c>
      <x:c r="F345" s="48" t="n">
        <x:v>528</x:v>
      </x:c>
      <x:c r="G345" s="47" t="n">
        <x:v>38.3</x:v>
      </x:c>
      <x:c r="H345" s="49" t="str">
        <x:f>IF(G345&lt;=25,"Boa",IF(G345&lt;=50,"Moderada",IF(G345&lt;=75,"Ruim","Muito Ruim")))</x:f>
        <x:v>Moderada</x:v>
      </x:c>
    </x:row>
    <x:row r="346" ht="20" customHeight="1">
      <x:c r="A346" s="50" t="n">
        <x:v>46263</x:v>
      </x:c>
      <x:c r="B346" s="51" t="str">
        <x:v>Vila Mariana</x:v>
      </x:c>
      <x:c r="C346" s="52" t="n">
        <x:v>6323</x:v>
      </x:c>
      <x:c r="D346" s="53" t="n">
        <x:v>18.7</x:v>
      </x:c>
      <x:c r="E346" s="54" t="n">
        <x:v>77</x:v>
      </x:c>
      <x:c r="F346" s="54" t="n">
        <x:v>625</x:v>
      </x:c>
      <x:c r="G346" s="53" t="n">
        <x:v>33.2</x:v>
      </x:c>
      <x:c r="H346" s="55" t="str">
        <x:f>IF(G346&lt;=25,"Boa",IF(G346&lt;=50,"Moderada",IF(G346&lt;=75,"Ruim","Muito Ruim")))</x:f>
        <x:v>Moderada</x:v>
      </x:c>
    </x:row>
    <x:row r="347" ht="20" customHeight="1">
      <x:c r="A347" s="44" t="n">
        <x:v>46263</x:v>
      </x:c>
      <x:c r="B347" s="45" t="str">
        <x:v>Santana</x:v>
      </x:c>
      <x:c r="C347" s="46" t="n">
        <x:v>4334</x:v>
      </x:c>
      <x:c r="D347" s="47" t="n">
        <x:v>26</x:v>
      </x:c>
      <x:c r="E347" s="48" t="n">
        <x:v>65</x:v>
      </x:c>
      <x:c r="F347" s="48" t="n">
        <x:v>583</x:v>
      </x:c>
      <x:c r="G347" s="47" t="n">
        <x:v>35.5</x:v>
      </x:c>
      <x:c r="H347" s="49" t="str">
        <x:f>IF(G347&lt;=25,"Boa",IF(G347&lt;=50,"Moderada",IF(G347&lt;=75,"Ruim","Muito Ruim")))</x:f>
        <x:v>Moderada</x:v>
      </x:c>
    </x:row>
    <x:row r="348" ht="20" customHeight="1">
      <x:c r="A348" s="50" t="n">
        <x:v>46263</x:v>
      </x:c>
      <x:c r="B348" s="51" t="str">
        <x:v>Lapa</x:v>
      </x:c>
      <x:c r="C348" s="52" t="n">
        <x:v>5411</x:v>
      </x:c>
      <x:c r="D348" s="53" t="n">
        <x:v>25.3</x:v>
      </x:c>
      <x:c r="E348" s="54" t="n">
        <x:v>69</x:v>
      </x:c>
      <x:c r="F348" s="54" t="n">
        <x:v>642</x:v>
      </x:c>
      <x:c r="G348" s="53" t="n">
        <x:v>32.4</x:v>
      </x:c>
      <x:c r="H348" s="55" t="str">
        <x:f>IF(G348&lt;=25,"Boa",IF(G348&lt;=50,"Moderada",IF(G348&lt;=75,"Ruim","Muito Ruim")))</x:f>
        <x:v>Moderada</x:v>
      </x:c>
    </x:row>
    <x:row r="349" ht="20" customHeight="1">
      <x:c r="A349" s="44" t="n">
        <x:v>46263</x:v>
      </x:c>
      <x:c r="B349" s="45" t="str">
        <x:v>Moema</x:v>
      </x:c>
      <x:c r="C349" s="46" t="n">
        <x:v>5483</x:v>
      </x:c>
      <x:c r="D349" s="47" t="n">
        <x:v>18.8</x:v>
      </x:c>
      <x:c r="E349" s="48" t="n">
        <x:v>77</x:v>
      </x:c>
      <x:c r="F349" s="48" t="n">
        <x:v>557</x:v>
      </x:c>
      <x:c r="G349" s="47" t="n">
        <x:v>22.4</x:v>
      </x:c>
      <x:c r="H349" s="49" t="str">
        <x:f>IF(G349&lt;=25,"Boa",IF(G349&lt;=50,"Moderada",IF(G349&lt;=75,"Ruim","Muito Ruim")))</x:f>
        <x:v>Boa</x:v>
      </x:c>
    </x:row>
    <x:row r="350" ht="20" customHeight="1">
      <x:c r="A350" s="50" t="n">
        <x:v>46263</x:v>
      </x:c>
      <x:c r="B350" s="51" t="str">
        <x:v>Santo Amaro</x:v>
      </x:c>
      <x:c r="C350" s="52" t="n">
        <x:v>7466</x:v>
      </x:c>
      <x:c r="D350" s="53" t="n">
        <x:v>20</x:v>
      </x:c>
      <x:c r="E350" s="54" t="n">
        <x:v>84</x:v>
      </x:c>
      <x:c r="F350" s="54" t="n">
        <x:v>639</x:v>
      </x:c>
      <x:c r="G350" s="53" t="n">
        <x:v>36.9</x:v>
      </x:c>
      <x:c r="H350" s="55" t="str">
        <x:f>IF(G350&lt;=25,"Boa",IF(G350&lt;=50,"Moderada",IF(G350&lt;=75,"Ruim","Muito Ruim")))</x:f>
        <x:v>Moderada</x:v>
      </x:c>
    </x:row>
    <x:row r="351" ht="20" customHeight="1">
      <x:c r="A351" s="44" t="n">
        <x:v>46263</x:v>
      </x:c>
      <x:c r="B351" s="45" t="str">
        <x:v>Itaquera</x:v>
      </x:c>
      <x:c r="C351" s="46" t="n">
        <x:v>5331</x:v>
      </x:c>
      <x:c r="D351" s="47" t="n">
        <x:v>19.1</x:v>
      </x:c>
      <x:c r="E351" s="48" t="n">
        <x:v>80</x:v>
      </x:c>
      <x:c r="F351" s="48" t="n">
        <x:v>662</x:v>
      </x:c>
      <x:c r="G351" s="47" t="n">
        <x:v>33.7</x:v>
      </x:c>
      <x:c r="H351" s="49" t="str">
        <x:f>IF(G351&lt;=25,"Boa",IF(G351&lt;=50,"Moderada",IF(G351&lt;=75,"Ruim","Muito Ruim")))</x:f>
        <x:v>Moderada</x:v>
      </x:c>
    </x:row>
    <x:row r="352" ht="20" customHeight="1">
      <x:c r="A352" s="50" t="n">
        <x:v>46263</x:v>
      </x:c>
      <x:c r="B352" s="51" t="str">
        <x:v>São Mateus</x:v>
      </x:c>
      <x:c r="C352" s="52" t="n">
        <x:v>6043</x:v>
      </x:c>
      <x:c r="D352" s="53" t="n">
        <x:v>24.1</x:v>
      </x:c>
      <x:c r="E352" s="54" t="n">
        <x:v>85</x:v>
      </x:c>
      <x:c r="F352" s="54" t="n">
        <x:v>636</x:v>
      </x:c>
      <x:c r="G352" s="53" t="n">
        <x:v>41.5</x:v>
      </x:c>
      <x:c r="H352" s="55" t="str">
        <x:f>IF(G352&lt;=25,"Boa",IF(G352&lt;=50,"Moderada",IF(G352&lt;=75,"Ruim","Muito Ruim")))</x:f>
        <x:v>Moderada</x:v>
      </x:c>
    </x:row>
    <x:row r="353" ht="20" customHeight="1">
      <x:c r="A353" s="44" t="n">
        <x:v>46264</x:v>
      </x:c>
      <x:c r="B353" s="45" t="str">
        <x:v>Centro</x:v>
      </x:c>
      <x:c r="C353" s="46" t="n">
        <x:v>6643</x:v>
      </x:c>
      <x:c r="D353" s="47" t="n">
        <x:v>25.7</x:v>
      </x:c>
      <x:c r="E353" s="48" t="n">
        <x:v>70</x:v>
      </x:c>
      <x:c r="F353" s="48" t="n">
        <x:v>646</x:v>
      </x:c>
      <x:c r="G353" s="47" t="n">
        <x:v>39.6</x:v>
      </x:c>
      <x:c r="H353" s="49" t="str">
        <x:f>IF(G353&lt;=25,"Boa",IF(G353&lt;=50,"Moderada",IF(G353&lt;=75,"Ruim","Muito Ruim")))</x:f>
        <x:v>Moderada</x:v>
      </x:c>
    </x:row>
    <x:row r="354" ht="20" customHeight="1">
      <x:c r="A354" s="50" t="n">
        <x:v>46264</x:v>
      </x:c>
      <x:c r="B354" s="51" t="str">
        <x:v>Marginal Tietê</x:v>
      </x:c>
      <x:c r="C354" s="52" t="n">
        <x:v>6871</x:v>
      </x:c>
      <x:c r="D354" s="53" t="n">
        <x:v>19.6</x:v>
      </x:c>
      <x:c r="E354" s="54" t="n">
        <x:v>73</x:v>
      </x:c>
      <x:c r="F354" s="54" t="n">
        <x:v>745</x:v>
      </x:c>
      <x:c r="G354" s="53" t="n">
        <x:v>38.9</x:v>
      </x:c>
      <x:c r="H354" s="55" t="str">
        <x:f>IF(G354&lt;=25,"Boa",IF(G354&lt;=50,"Moderada",IF(G354&lt;=75,"Ruim","Muito Ruim")))</x:f>
        <x:v>Moderada</x:v>
      </x:c>
    </x:row>
    <x:row r="355" ht="20" customHeight="1">
      <x:c r="A355" s="44" t="n">
        <x:v>46264</x:v>
      </x:c>
      <x:c r="B355" s="45" t="str">
        <x:v>Paulista</x:v>
      </x:c>
      <x:c r="C355" s="46" t="n">
        <x:v>5293</x:v>
      </x:c>
      <x:c r="D355" s="47" t="n">
        <x:v>24.9</x:v>
      </x:c>
      <x:c r="E355" s="48" t="n">
        <x:v>79</x:v>
      </x:c>
      <x:c r="F355" s="48" t="n">
        <x:v>645</x:v>
      </x:c>
      <x:c r="G355" s="47" t="n">
        <x:v>27.6</x:v>
      </x:c>
      <x:c r="H355" s="49" t="str">
        <x:f>IF(G355&lt;=25,"Boa",IF(G355&lt;=50,"Moderada",IF(G355&lt;=75,"Ruim","Muito Ruim")))</x:f>
        <x:v>Moderada</x:v>
      </x:c>
    </x:row>
    <x:row r="356" ht="20" customHeight="1">
      <x:c r="A356" s="50" t="n">
        <x:v>46264</x:v>
      </x:c>
      <x:c r="B356" s="51" t="str">
        <x:v>Pinheiros</x:v>
      </x:c>
      <x:c r="C356" s="52" t="n">
        <x:v>5406</x:v>
      </x:c>
      <x:c r="D356" s="53" t="n">
        <x:v>25.5</x:v>
      </x:c>
      <x:c r="E356" s="54" t="n">
        <x:v>82</x:v>
      </x:c>
      <x:c r="F356" s="54" t="n">
        <x:v>611</x:v>
      </x:c>
      <x:c r="G356" s="53" t="n">
        <x:v>30.6</x:v>
      </x:c>
      <x:c r="H356" s="55" t="str">
        <x:f>IF(G356&lt;=25,"Boa",IF(G356&lt;=50,"Moderada",IF(G356&lt;=75,"Ruim","Muito Ruim")))</x:f>
        <x:v>Moderada</x:v>
      </x:c>
    </x:row>
    <x:row r="357" ht="20" customHeight="1">
      <x:c r="A357" s="44" t="n">
        <x:v>46264</x:v>
      </x:c>
      <x:c r="B357" s="45" t="str">
        <x:v>Zona Sul (Ibirapuera)</x:v>
      </x:c>
      <x:c r="C357" s="46" t="n">
        <x:v>4303</x:v>
      </x:c>
      <x:c r="D357" s="47" t="n">
        <x:v>23.4</x:v>
      </x:c>
      <x:c r="E357" s="48" t="n">
        <x:v>83</x:v>
      </x:c>
      <x:c r="F357" s="48" t="n">
        <x:v>521</x:v>
      </x:c>
      <x:c r="G357" s="47" t="n">
        <x:v>18.1</x:v>
      </x:c>
      <x:c r="H357" s="49" t="str">
        <x:f>IF(G357&lt;=25,"Boa",IF(G357&lt;=50,"Moderada",IF(G357&lt;=75,"Ruim","Muito Ruim")))</x:f>
        <x:v>Boa</x:v>
      </x:c>
    </x:row>
    <x:row r="358" ht="20" customHeight="1">
      <x:c r="A358" s="50" t="n">
        <x:v>46264</x:v>
      </x:c>
      <x:c r="B358" s="51" t="str">
        <x:v>Vila Mariana</x:v>
      </x:c>
      <x:c r="C358" s="52" t="n">
        <x:v>5621</x:v>
      </x:c>
      <x:c r="D358" s="53" t="n">
        <x:v>25</x:v>
      </x:c>
      <x:c r="E358" s="54" t="n">
        <x:v>76</x:v>
      </x:c>
      <x:c r="F358" s="54" t="n">
        <x:v>623</x:v>
      </x:c>
      <x:c r="G358" s="53" t="n">
        <x:v>36.2</x:v>
      </x:c>
      <x:c r="H358" s="55" t="str">
        <x:f>IF(G358&lt;=25,"Boa",IF(G358&lt;=50,"Moderada",IF(G358&lt;=75,"Ruim","Muito Ruim")))</x:f>
        <x:v>Moderada</x:v>
      </x:c>
    </x:row>
    <x:row r="359" ht="20" customHeight="1">
      <x:c r="A359" s="44" t="n">
        <x:v>46264</x:v>
      </x:c>
      <x:c r="B359" s="45" t="str">
        <x:v>Santana</x:v>
      </x:c>
      <x:c r="C359" s="46" t="n">
        <x:v>6765</x:v>
      </x:c>
      <x:c r="D359" s="47" t="n">
        <x:v>21</x:v>
      </x:c>
      <x:c r="E359" s="48" t="n">
        <x:v>74</x:v>
      </x:c>
      <x:c r="F359" s="48" t="n">
        <x:v>661</x:v>
      </x:c>
      <x:c r="G359" s="47" t="n">
        <x:v>30.8</x:v>
      </x:c>
      <x:c r="H359" s="49" t="str">
        <x:f>IF(G359&lt;=25,"Boa",IF(G359&lt;=50,"Moderada",IF(G359&lt;=75,"Ruim","Muito Ruim")))</x:f>
        <x:v>Moderada</x:v>
      </x:c>
    </x:row>
    <x:row r="360" ht="20" customHeight="1">
      <x:c r="A360" s="50" t="n">
        <x:v>46264</x:v>
      </x:c>
      <x:c r="B360" s="51" t="str">
        <x:v>Lapa</x:v>
      </x:c>
      <x:c r="C360" s="52" t="n">
        <x:v>5593</x:v>
      </x:c>
      <x:c r="D360" s="53" t="n">
        <x:v>17.4</x:v>
      </x:c>
      <x:c r="E360" s="54" t="n">
        <x:v>79</x:v>
      </x:c>
      <x:c r="F360" s="54" t="n">
        <x:v>656</x:v>
      </x:c>
      <x:c r="G360" s="53" t="n">
        <x:v>28.1</x:v>
      </x:c>
      <x:c r="H360" s="55" t="str">
        <x:f>IF(G360&lt;=25,"Boa",IF(G360&lt;=50,"Moderada",IF(G360&lt;=75,"Ruim","Muito Ruim")))</x:f>
        <x:v>Moderada</x:v>
      </x:c>
    </x:row>
    <x:row r="361" ht="20" customHeight="1">
      <x:c r="A361" s="44" t="n">
        <x:v>46264</x:v>
      </x:c>
      <x:c r="B361" s="45" t="str">
        <x:v>Moema</x:v>
      </x:c>
      <x:c r="C361" s="46" t="n">
        <x:v>4512</x:v>
      </x:c>
      <x:c r="D361" s="47" t="n">
        <x:v>22.6</x:v>
      </x:c>
      <x:c r="E361" s="48" t="n">
        <x:v>70</x:v>
      </x:c>
      <x:c r="F361" s="48" t="n">
        <x:v>529</x:v>
      </x:c>
      <x:c r="G361" s="47" t="n">
        <x:v>36.6</x:v>
      </x:c>
      <x:c r="H361" s="49" t="str">
        <x:f>IF(G361&lt;=25,"Boa",IF(G361&lt;=50,"Moderada",IF(G361&lt;=75,"Ruim","Muito Ruim")))</x:f>
        <x:v>Moderada</x:v>
      </x:c>
    </x:row>
    <x:row r="362" ht="20" customHeight="1">
      <x:c r="A362" s="50" t="n">
        <x:v>46264</x:v>
      </x:c>
      <x:c r="B362" s="51" t="str">
        <x:v>Santo Amaro</x:v>
      </x:c>
      <x:c r="C362" s="52" t="n">
        <x:v>6122</x:v>
      </x:c>
      <x:c r="D362" s="53" t="n">
        <x:v>20.7</x:v>
      </x:c>
      <x:c r="E362" s="54" t="n">
        <x:v>76</x:v>
      </x:c>
      <x:c r="F362" s="54" t="n">
        <x:v>693</x:v>
      </x:c>
      <x:c r="G362" s="53" t="n">
        <x:v>32</x:v>
      </x:c>
      <x:c r="H362" s="55" t="str">
        <x:f>IF(G362&lt;=25,"Boa",IF(G362&lt;=50,"Moderada",IF(G362&lt;=75,"Ruim","Muito Ruim")))</x:f>
        <x:v>Moderada</x:v>
      </x:c>
    </x:row>
    <x:row r="363" ht="20" customHeight="1">
      <x:c r="A363" s="44" t="n">
        <x:v>46264</x:v>
      </x:c>
      <x:c r="B363" s="45" t="str">
        <x:v>Itaquera</x:v>
      </x:c>
      <x:c r="C363" s="46" t="n">
        <x:v>6387</x:v>
      </x:c>
      <x:c r="D363" s="47" t="n">
        <x:v>18.9</x:v>
      </x:c>
      <x:c r="E363" s="48" t="n">
        <x:v>71</x:v>
      </x:c>
      <x:c r="F363" s="48" t="n">
        <x:v>608</x:v>
      </x:c>
      <x:c r="G363" s="47" t="n">
        <x:v>35.4</x:v>
      </x:c>
      <x:c r="H363" s="49" t="str">
        <x:f>IF(G363&lt;=25,"Boa",IF(G363&lt;=50,"Moderada",IF(G363&lt;=75,"Ruim","Muito Ruim")))</x:f>
        <x:v>Moderada</x:v>
      </x:c>
    </x:row>
    <x:row r="364" ht="20" customHeight="1">
      <x:c r="A364" s="50" t="n">
        <x:v>46264</x:v>
      </x:c>
      <x:c r="B364" s="51" t="str">
        <x:v>São Mateus</x:v>
      </x:c>
      <x:c r="C364" s="52" t="n">
        <x:v>6577</x:v>
      </x:c>
      <x:c r="D364" s="53" t="n">
        <x:v>20.9</x:v>
      </x:c>
      <x:c r="E364" s="54" t="n">
        <x:v>77</x:v>
      </x:c>
      <x:c r="F364" s="54" t="n">
        <x:v>614</x:v>
      </x:c>
      <x:c r="G364" s="53" t="n">
        <x:v>51</x:v>
      </x:c>
      <x:c r="H364" s="55" t="str">
        <x:f>IF(G364&lt;=25,"Boa",IF(G364&lt;=50,"Moderada",IF(G364&lt;=75,"Ruim","Muito Ruim")))</x:f>
        <x:v>Ruim</x:v>
      </x:c>
    </x:row>
    <x:row r="365" ht="20" customHeight="1">
      <x:c r="A365" s="44" t="n">
        <x:v>46265</x:v>
      </x:c>
      <x:c r="B365" s="45" t="str">
        <x:v>Centro</x:v>
      </x:c>
      <x:c r="C365" s="46" t="n">
        <x:v>5044</x:v>
      </x:c>
      <x:c r="D365" s="47" t="n">
        <x:v>18.9</x:v>
      </x:c>
      <x:c r="E365" s="48" t="n">
        <x:v>75</x:v>
      </x:c>
      <x:c r="F365" s="48" t="n">
        <x:v>604</x:v>
      </x:c>
      <x:c r="G365" s="47" t="n">
        <x:v>26.3</x:v>
      </x:c>
      <x:c r="H365" s="49" t="str">
        <x:f>IF(G365&lt;=25,"Boa",IF(G365&lt;=50,"Moderada",IF(G365&lt;=75,"Ruim","Muito Ruim")))</x:f>
        <x:v>Moderada</x:v>
      </x:c>
    </x:row>
    <x:row r="366" ht="20" customHeight="1">
      <x:c r="A366" s="50" t="n">
        <x:v>46265</x:v>
      </x:c>
      <x:c r="B366" s="51" t="str">
        <x:v>Marginal Tietê</x:v>
      </x:c>
      <x:c r="C366" s="52" t="n">
        <x:v>8082</x:v>
      </x:c>
      <x:c r="D366" s="53" t="n">
        <x:v>21.3</x:v>
      </x:c>
      <x:c r="E366" s="54" t="n">
        <x:v>68</x:v>
      </x:c>
      <x:c r="F366" s="54" t="n">
        <x:v>744</x:v>
      </x:c>
      <x:c r="G366" s="53" t="n">
        <x:v>56.8</x:v>
      </x:c>
      <x:c r="H366" s="55" t="str">
        <x:f>IF(G366&lt;=25,"Boa",IF(G366&lt;=50,"Moderada",IF(G366&lt;=75,"Ruim","Muito Ruim")))</x:f>
        <x:v>Ruim</x:v>
      </x:c>
    </x:row>
    <x:row r="367" ht="20" customHeight="1">
      <x:c r="A367" s="44" t="n">
        <x:v>46265</x:v>
      </x:c>
      <x:c r="B367" s="45" t="str">
        <x:v>Paulista</x:v>
      </x:c>
      <x:c r="C367" s="46" t="n">
        <x:v>7534</x:v>
      </x:c>
      <x:c r="D367" s="47" t="n">
        <x:v>25.1</x:v>
      </x:c>
      <x:c r="E367" s="48" t="n">
        <x:v>64</x:v>
      </x:c>
      <x:c r="F367" s="48" t="n">
        <x:v>711</x:v>
      </x:c>
      <x:c r="G367" s="47" t="n">
        <x:v>43.8</x:v>
      </x:c>
      <x:c r="H367" s="49" t="str">
        <x:f>IF(G367&lt;=25,"Boa",IF(G367&lt;=50,"Moderada",IF(G367&lt;=75,"Ruim","Muito Ruim")))</x:f>
        <x:v>Moderada</x:v>
      </x:c>
    </x:row>
    <x:row r="368" ht="20" customHeight="1">
      <x:c r="A368" s="50" t="n">
        <x:v>46265</x:v>
      </x:c>
      <x:c r="B368" s="51" t="str">
        <x:v>Pinheiros</x:v>
      </x:c>
      <x:c r="C368" s="52" t="n">
        <x:v>3609</x:v>
      </x:c>
      <x:c r="D368" s="53" t="n">
        <x:v>25.3</x:v>
      </x:c>
      <x:c r="E368" s="54" t="n">
        <x:v>74</x:v>
      </x:c>
      <x:c r="F368" s="54" t="n">
        <x:v>526</x:v>
      </x:c>
      <x:c r="G368" s="53" t="n">
        <x:v>21.7</x:v>
      </x:c>
      <x:c r="H368" s="55" t="str">
        <x:f>IF(G368&lt;=25,"Boa",IF(G368&lt;=50,"Moderada",IF(G368&lt;=75,"Ruim","Muito Ruim")))</x:f>
        <x:v>Boa</x:v>
      </x:c>
    </x:row>
    <x:row r="369" ht="20" customHeight="1">
      <x:c r="A369" s="44" t="n">
        <x:v>46265</x:v>
      </x:c>
      <x:c r="B369" s="45" t="str">
        <x:v>Zona Sul (Ibirapuera)</x:v>
      </x:c>
      <x:c r="C369" s="46" t="n">
        <x:v>4496</x:v>
      </x:c>
      <x:c r="D369" s="47" t="n">
        <x:v>19.3</x:v>
      </x:c>
      <x:c r="E369" s="48" t="n">
        <x:v>80</x:v>
      </x:c>
      <x:c r="F369" s="48" t="n">
        <x:v>540</x:v>
      </x:c>
      <x:c r="G369" s="47" t="n">
        <x:v>28.2</x:v>
      </x:c>
      <x:c r="H369" s="49" t="str">
        <x:f>IF(G369&lt;=25,"Boa",IF(G369&lt;=50,"Moderada",IF(G369&lt;=75,"Ruim","Muito Ruim")))</x:f>
        <x:v>Moderada</x:v>
      </x:c>
    </x:row>
    <x:row r="370" ht="20" customHeight="1">
      <x:c r="A370" s="50" t="n">
        <x:v>46265</x:v>
      </x:c>
      <x:c r="B370" s="51" t="str">
        <x:v>Vila Mariana</x:v>
      </x:c>
      <x:c r="C370" s="52" t="n">
        <x:v>5747</x:v>
      </x:c>
      <x:c r="D370" s="53" t="n">
        <x:v>20.7</x:v>
      </x:c>
      <x:c r="E370" s="54" t="n">
        <x:v>76</x:v>
      </x:c>
      <x:c r="F370" s="54" t="n">
        <x:v>658</x:v>
      </x:c>
      <x:c r="G370" s="53" t="n">
        <x:v>34.9</x:v>
      </x:c>
      <x:c r="H370" s="55" t="str">
        <x:f>IF(G370&lt;=25,"Boa",IF(G370&lt;=50,"Moderada",IF(G370&lt;=75,"Ruim","Muito Ruim")))</x:f>
        <x:v>Moderada</x:v>
      </x:c>
    </x:row>
    <x:row r="371" ht="20" customHeight="1">
      <x:c r="A371" s="44" t="n">
        <x:v>46265</x:v>
      </x:c>
      <x:c r="B371" s="45" t="str">
        <x:v>Santana</x:v>
      </x:c>
      <x:c r="C371" s="46" t="n">
        <x:v>5519</x:v>
      </x:c>
      <x:c r="D371" s="47" t="n">
        <x:v>22.3</x:v>
      </x:c>
      <x:c r="E371" s="48" t="n">
        <x:v>79</x:v>
      </x:c>
      <x:c r="F371" s="48" t="n">
        <x:v>578</x:v>
      </x:c>
      <x:c r="G371" s="47" t="n">
        <x:v>37.5</x:v>
      </x:c>
      <x:c r="H371" s="49" t="str">
        <x:f>IF(G371&lt;=25,"Boa",IF(G371&lt;=50,"Moderada",IF(G371&lt;=75,"Ruim","Muito Ruim")))</x:f>
        <x:v>Moderada</x:v>
      </x:c>
    </x:row>
    <x:row r="372" ht="20" customHeight="1">
      <x:c r="A372" s="50" t="n">
        <x:v>46265</x:v>
      </x:c>
      <x:c r="B372" s="51" t="str">
        <x:v>Lapa</x:v>
      </x:c>
      <x:c r="C372" s="52" t="n">
        <x:v>4610</x:v>
      </x:c>
      <x:c r="D372" s="53" t="n">
        <x:v>21.4</x:v>
      </x:c>
      <x:c r="E372" s="54" t="n">
        <x:v>78</x:v>
      </x:c>
      <x:c r="F372" s="54" t="n">
        <x:v>568</x:v>
      </x:c>
      <x:c r="G372" s="53" t="n">
        <x:v>28.4</x:v>
      </x:c>
      <x:c r="H372" s="55" t="str">
        <x:f>IF(G372&lt;=25,"Boa",IF(G372&lt;=50,"Moderada",IF(G372&lt;=75,"Ruim","Muito Ruim")))</x:f>
        <x:v>Moderada</x:v>
      </x:c>
    </x:row>
    <x:row r="373" ht="20" customHeight="1">
      <x:c r="A373" s="44" t="n">
        <x:v>46265</x:v>
      </x:c>
      <x:c r="B373" s="45" t="str">
        <x:v>Moema</x:v>
      </x:c>
      <x:c r="C373" s="46" t="n">
        <x:v>4174</x:v>
      </x:c>
      <x:c r="D373" s="47" t="n">
        <x:v>23.2</x:v>
      </x:c>
      <x:c r="E373" s="48" t="n">
        <x:v>73</x:v>
      </x:c>
      <x:c r="F373" s="48" t="n">
        <x:v>528</x:v>
      </x:c>
      <x:c r="G373" s="47" t="n">
        <x:v>18.6</x:v>
      </x:c>
      <x:c r="H373" s="49" t="str">
        <x:f>IF(G373&lt;=25,"Boa",IF(G373&lt;=50,"Moderada",IF(G373&lt;=75,"Ruim","Muito Ruim")))</x:f>
        <x:v>Boa</x:v>
      </x:c>
    </x:row>
    <x:row r="374" ht="20" customHeight="1">
      <x:c r="A374" s="50" t="n">
        <x:v>46265</x:v>
      </x:c>
      <x:c r="B374" s="51" t="str">
        <x:v>Santo Amaro</x:v>
      </x:c>
      <x:c r="C374" s="52" t="n">
        <x:v>5776</x:v>
      </x:c>
      <x:c r="D374" s="53" t="n">
        <x:v>22.4</x:v>
      </x:c>
      <x:c r="E374" s="54" t="n">
        <x:v>78</x:v>
      </x:c>
      <x:c r="F374" s="54" t="n">
        <x:v>594</x:v>
      </x:c>
      <x:c r="G374" s="53" t="n">
        <x:v>45.8</x:v>
      </x:c>
      <x:c r="H374" s="55" t="str">
        <x:f>IF(G374&lt;=25,"Boa",IF(G374&lt;=50,"Moderada",IF(G374&lt;=75,"Ruim","Muito Ruim")))</x:f>
        <x:v>Moderada</x:v>
      </x:c>
    </x:row>
    <x:row r="375" ht="20" customHeight="1">
      <x:c r="A375" s="44" t="n">
        <x:v>46265</x:v>
      </x:c>
      <x:c r="B375" s="45" t="str">
        <x:v>Itaquera</x:v>
      </x:c>
      <x:c r="C375" s="46" t="n">
        <x:v>6823</x:v>
      </x:c>
      <x:c r="D375" s="47" t="n">
        <x:v>22.7</x:v>
      </x:c>
      <x:c r="E375" s="48" t="n">
        <x:v>79</x:v>
      </x:c>
      <x:c r="F375" s="48" t="n">
        <x:v>668</x:v>
      </x:c>
      <x:c r="G375" s="47" t="n">
        <x:v>48.9</x:v>
      </x:c>
      <x:c r="H375" s="49" t="str">
        <x:f>IF(G375&lt;=25,"Boa",IF(G375&lt;=50,"Moderada",IF(G375&lt;=75,"Ruim","Muito Ruim")))</x:f>
        <x:v>Moderada</x:v>
      </x:c>
    </x:row>
    <x:row r="376" ht="20" customHeight="1">
      <x:c r="A376" s="56" t="n">
        <x:v>46265</x:v>
      </x:c>
      <x:c r="B376" s="57" t="str">
        <x:v>São Mateus</x:v>
      </x:c>
      <x:c r="C376" s="58" t="n">
        <x:v>6067</x:v>
      </x:c>
      <x:c r="D376" s="59" t="n">
        <x:v>21.3</x:v>
      </x:c>
      <x:c r="E376" s="60" t="n">
        <x:v>67</x:v>
      </x:c>
      <x:c r="F376" s="60" t="n">
        <x:v>598</x:v>
      </x:c>
      <x:c r="G376" s="59" t="n">
        <x:v>35.8</x:v>
      </x:c>
      <x:c r="H376" s="61" t="str">
        <x:f>IF(G376&lt;=25,"Boa",IF(G376&lt;=50,"Moderada",IF(G376&lt;=75,"Ruim","Muito Ruim")))</x:f>
        <x:v>Moderada</x:v>
      </x:c>
    </x:row>
  </x:sheetData>
  <x:mergeCells>
    <x:mergeCell ref="A1:H1"/>
    <x:mergeCell ref="A2:H2"/>
  </x:mergeCells>
  <x:conditionalFormatting sqref="H5:H376">
    <x:cfRule type="containsText" dxfId="0" priority="1" operator="containsText" text="Boa"/>
    <x:cfRule type="containsText" dxfId="1" priority="2" operator="containsText" text="Moderada"/>
    <x:cfRule type="containsText" dxfId="2" priority="3" operator="containsText" text="Ruim"/>
    <x:cfRule type="containsText" dxfId="3" priority="4" operator="containsText" text="Muito Ruim"/>
  </x:conditionalFormatting>
  <x:pageMargins left="0.7" right="0.7" top="0.75" bottom="0.75" header="0.3" footer="0.3"/>
  <x:tableParts count="1">
    <x:tablePart xmlns:r="http://schemas.openxmlformats.org/officeDocument/2006/relationships" r:id="R7a16a1d1729143e7"/>
  </x:tableParts>
</x:worksheet>
</file>